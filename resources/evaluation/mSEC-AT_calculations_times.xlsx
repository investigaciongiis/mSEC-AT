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lop\Universidad\doctorado\Trabajo 13 mSEC-AT\envio\revision1\finales\"/>
    </mc:Choice>
  </mc:AlternateContent>
  <xr:revisionPtr revIDLastSave="0" documentId="13_ncr:1_{569DF761-02FC-42A8-8735-670685C9CA60}" xr6:coauthVersionLast="47" xr6:coauthVersionMax="47" xr10:uidLastSave="{00000000-0000-0000-0000-000000000000}"/>
  <bookViews>
    <workbookView xWindow="28680" yWindow="-120" windowWidth="29040" windowHeight="15720" xr2:uid="{CA4F6415-5AB0-4CFD-9911-8D03A96E2097}"/>
  </bookViews>
  <sheets>
    <sheet name="Datas" sheetId="1" r:id="rId1"/>
    <sheet name="Execution-time results" sheetId="2" r:id="rId2"/>
    <sheet name="Runtime by pipeline operation" sheetId="3" r:id="rId3"/>
    <sheet name="Scalability indicators" sheetId="4" r:id="rId4"/>
    <sheet name="Runtime distribution" sheetId="5" r:id="rId5"/>
    <sheet name="Strongest associations wth time" sheetId="6" r:id="rId6"/>
    <sheet name="Exploratory model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9" i="7" l="1"/>
  <c r="I18" i="7" a="1"/>
  <c r="I18" i="7"/>
  <c r="J18" i="7" s="1"/>
  <c r="I19" i="7" a="1"/>
  <c r="I19" i="7"/>
  <c r="J19" i="7"/>
  <c r="I20" i="7" a="1"/>
  <c r="I20" i="7" s="1"/>
  <c r="J20" i="7" s="1"/>
  <c r="I21" i="7" a="1"/>
  <c r="I21" i="7"/>
  <c r="J21" i="7"/>
  <c r="I22" i="7" a="1"/>
  <c r="I22" i="7"/>
  <c r="J22" i="7"/>
  <c r="I23" i="7" a="1"/>
  <c r="I23" i="7" s="1"/>
  <c r="J23" i="7" s="1"/>
  <c r="J17" i="7"/>
  <c r="I17" i="7" a="1"/>
  <c r="I17" i="7" s="1"/>
  <c r="M4" i="7"/>
  <c r="H3" i="7" a="1"/>
  <c r="H3" i="7" s="1"/>
  <c r="I3" i="7" s="1"/>
  <c r="H4" i="7" a="1"/>
  <c r="H4" i="7"/>
  <c r="I4" i="7" s="1"/>
  <c r="H5" i="7" a="1"/>
  <c r="H5" i="7"/>
  <c r="I5" i="7"/>
  <c r="H6" i="7" a="1"/>
  <c r="H6" i="7"/>
  <c r="I6" i="7"/>
  <c r="H7" i="7" a="1"/>
  <c r="H7" i="7"/>
  <c r="I7" i="7"/>
  <c r="H8" i="7" a="1"/>
  <c r="H8" i="7" s="1"/>
  <c r="I8" i="7" s="1"/>
  <c r="I2" i="7"/>
  <c r="H2" i="7" a="1"/>
  <c r="H2" i="7" s="1"/>
  <c r="H17" i="7"/>
  <c r="G3" i="7"/>
  <c r="G4" i="7"/>
  <c r="G5" i="7"/>
  <c r="G6" i="7"/>
  <c r="G7" i="7"/>
  <c r="G8" i="7"/>
  <c r="G2" i="7"/>
  <c r="C18" i="7"/>
  <c r="D18" i="7"/>
  <c r="E18" i="7"/>
  <c r="F18" i="7"/>
  <c r="G18" i="7"/>
  <c r="H18" i="7"/>
  <c r="M18" i="7" s="1"/>
  <c r="C19" i="7"/>
  <c r="E19" i="7" s="1"/>
  <c r="F19" i="7" s="1"/>
  <c r="G19" i="7" s="1"/>
  <c r="D19" i="7"/>
  <c r="H19" i="7"/>
  <c r="C20" i="7"/>
  <c r="D20" i="7"/>
  <c r="E20" i="7"/>
  <c r="F20" i="7"/>
  <c r="G20" i="7" s="1"/>
  <c r="H20" i="7"/>
  <c r="C21" i="7"/>
  <c r="D21" i="7"/>
  <c r="E21" i="7"/>
  <c r="F21" i="7"/>
  <c r="G21" i="7"/>
  <c r="H21" i="7"/>
  <c r="C22" i="7"/>
  <c r="D22" i="7"/>
  <c r="E22" i="7"/>
  <c r="F22" i="7"/>
  <c r="G22" i="7"/>
  <c r="H22" i="7"/>
  <c r="C23" i="7"/>
  <c r="E23" i="7" s="1"/>
  <c r="F23" i="7" s="1"/>
  <c r="G23" i="7" s="1"/>
  <c r="D23" i="7"/>
  <c r="H23" i="7"/>
  <c r="D17" i="7"/>
  <c r="E17" i="7" s="1"/>
  <c r="F17" i="7" s="1"/>
  <c r="G17" i="7" s="1"/>
  <c r="C17" i="7"/>
  <c r="L16" i="7"/>
  <c r="B18" i="7"/>
  <c r="B19" i="7"/>
  <c r="B20" i="7"/>
  <c r="B21" i="7"/>
  <c r="B22" i="7"/>
  <c r="B23" i="7"/>
  <c r="B17" i="7"/>
  <c r="A18" i="7"/>
  <c r="A19" i="7"/>
  <c r="A20" i="7"/>
  <c r="A21" i="7"/>
  <c r="A22" i="7"/>
  <c r="A23" i="7"/>
  <c r="A17" i="7"/>
  <c r="L1" i="7"/>
  <c r="D3" i="7"/>
  <c r="E3" i="7"/>
  <c r="F3" i="7"/>
  <c r="D4" i="7"/>
  <c r="E4" i="7"/>
  <c r="F4" i="7"/>
  <c r="D5" i="7"/>
  <c r="E5" i="7"/>
  <c r="F5" i="7" s="1"/>
  <c r="D6" i="7"/>
  <c r="E6" i="7"/>
  <c r="F6" i="7"/>
  <c r="D7" i="7"/>
  <c r="E7" i="7"/>
  <c r="F7" i="7"/>
  <c r="D8" i="7"/>
  <c r="E8" i="7"/>
  <c r="F8" i="7"/>
  <c r="F2" i="7"/>
  <c r="E2" i="7"/>
  <c r="D2" i="7"/>
  <c r="C8" i="7"/>
  <c r="C7" i="7"/>
  <c r="C6" i="7"/>
  <c r="C5" i="7"/>
  <c r="C4" i="7"/>
  <c r="C3" i="7"/>
  <c r="C2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C2" i="2"/>
  <c r="F3" i="2"/>
  <c r="F4" i="2"/>
  <c r="F5" i="2"/>
  <c r="F6" i="2"/>
  <c r="F7" i="2"/>
  <c r="F8" i="2"/>
  <c r="F2" i="2"/>
  <c r="E3" i="2"/>
  <c r="E4" i="2"/>
  <c r="E5" i="2"/>
  <c r="E6" i="2"/>
  <c r="E7" i="2"/>
  <c r="E8" i="2"/>
  <c r="E2" i="2"/>
  <c r="B2" i="2"/>
  <c r="C3" i="2"/>
  <c r="D3" i="2"/>
  <c r="C4" i="2"/>
  <c r="D4" i="2"/>
  <c r="C5" i="2"/>
  <c r="D5" i="2"/>
  <c r="C6" i="2"/>
  <c r="D6" i="2"/>
  <c r="C7" i="2"/>
  <c r="D7" i="2"/>
  <c r="C8" i="2"/>
  <c r="D8" i="2"/>
  <c r="D2" i="2"/>
  <c r="H4" i="5"/>
  <c r="H6" i="5"/>
  <c r="H8" i="5"/>
  <c r="H2" i="5"/>
  <c r="G4" i="5"/>
  <c r="G6" i="5"/>
  <c r="G8" i="5"/>
  <c r="G2" i="5"/>
  <c r="F4" i="5"/>
  <c r="F6" i="5"/>
  <c r="F7" i="5"/>
  <c r="F8" i="5"/>
  <c r="F2" i="5"/>
  <c r="E4" i="5"/>
  <c r="E6" i="5"/>
  <c r="E7" i="5"/>
  <c r="E8" i="5"/>
  <c r="E2" i="5"/>
  <c r="D4" i="5"/>
  <c r="D6" i="5"/>
  <c r="D8" i="5"/>
  <c r="D2" i="5"/>
  <c r="C4" i="5"/>
  <c r="C6" i="5"/>
  <c r="C7" i="5"/>
  <c r="C8" i="5"/>
  <c r="C2" i="5"/>
  <c r="E129" i="6"/>
  <c r="E132" i="6"/>
  <c r="E110" i="6"/>
  <c r="E112" i="6"/>
  <c r="E106" i="6"/>
  <c r="E5" i="6"/>
  <c r="D191" i="6"/>
  <c r="D192" i="6"/>
  <c r="D193" i="6"/>
  <c r="D194" i="6"/>
  <c r="D195" i="6"/>
  <c r="D196" i="6"/>
  <c r="D190" i="6"/>
  <c r="B191" i="6"/>
  <c r="E191" i="6" s="1"/>
  <c r="C191" i="6"/>
  <c r="B192" i="6"/>
  <c r="C192" i="6"/>
  <c r="B193" i="6"/>
  <c r="C193" i="6"/>
  <c r="B194" i="6"/>
  <c r="C194" i="6"/>
  <c r="B195" i="6"/>
  <c r="C195" i="6"/>
  <c r="B196" i="6"/>
  <c r="C196" i="6"/>
  <c r="C190" i="6"/>
  <c r="B190" i="6"/>
  <c r="A191" i="6"/>
  <c r="A192" i="6"/>
  <c r="A193" i="6"/>
  <c r="A194" i="6"/>
  <c r="A195" i="6"/>
  <c r="A196" i="6"/>
  <c r="A190" i="6"/>
  <c r="D170" i="6"/>
  <c r="D171" i="6"/>
  <c r="D172" i="6"/>
  <c r="D173" i="6"/>
  <c r="D174" i="6"/>
  <c r="D175" i="6"/>
  <c r="D169" i="6"/>
  <c r="A170" i="6"/>
  <c r="B170" i="6"/>
  <c r="C170" i="6"/>
  <c r="A171" i="6"/>
  <c r="B171" i="6"/>
  <c r="C171" i="6"/>
  <c r="A172" i="6"/>
  <c r="B172" i="6"/>
  <c r="C172" i="6"/>
  <c r="A173" i="6"/>
  <c r="B173" i="6"/>
  <c r="C173" i="6"/>
  <c r="A174" i="6"/>
  <c r="B174" i="6"/>
  <c r="C174" i="6"/>
  <c r="A175" i="6"/>
  <c r="B175" i="6"/>
  <c r="C175" i="6"/>
  <c r="C169" i="6"/>
  <c r="B169" i="6"/>
  <c r="A169" i="6"/>
  <c r="D149" i="6"/>
  <c r="D150" i="6"/>
  <c r="D151" i="6"/>
  <c r="D152" i="6"/>
  <c r="D153" i="6"/>
  <c r="D154" i="6"/>
  <c r="D148" i="6"/>
  <c r="C149" i="6"/>
  <c r="C150" i="6"/>
  <c r="C151" i="6"/>
  <c r="C152" i="6"/>
  <c r="C153" i="6"/>
  <c r="C154" i="6"/>
  <c r="C148" i="6"/>
  <c r="A149" i="6"/>
  <c r="B149" i="6"/>
  <c r="E149" i="6" s="1"/>
  <c r="A150" i="6"/>
  <c r="B150" i="6"/>
  <c r="A151" i="6"/>
  <c r="B151" i="6"/>
  <c r="A152" i="6"/>
  <c r="B152" i="6"/>
  <c r="A153" i="6"/>
  <c r="B153" i="6"/>
  <c r="A154" i="6"/>
  <c r="B154" i="6"/>
  <c r="B148" i="6"/>
  <c r="A148" i="6"/>
  <c r="D128" i="6"/>
  <c r="D129" i="6"/>
  <c r="D130" i="6"/>
  <c r="D131" i="6"/>
  <c r="D132" i="6"/>
  <c r="D133" i="6"/>
  <c r="D127" i="6"/>
  <c r="C128" i="6"/>
  <c r="C129" i="6"/>
  <c r="C130" i="6"/>
  <c r="C131" i="6"/>
  <c r="C132" i="6"/>
  <c r="C133" i="6"/>
  <c r="C127" i="6"/>
  <c r="B128" i="6"/>
  <c r="B129" i="6"/>
  <c r="B130" i="6"/>
  <c r="B131" i="6"/>
  <c r="B132" i="6"/>
  <c r="B133" i="6"/>
  <c r="B127" i="6"/>
  <c r="A128" i="6"/>
  <c r="A129" i="6"/>
  <c r="A130" i="6"/>
  <c r="A131" i="6"/>
  <c r="A132" i="6"/>
  <c r="A133" i="6"/>
  <c r="A127" i="6"/>
  <c r="D107" i="6"/>
  <c r="D108" i="6"/>
  <c r="D109" i="6"/>
  <c r="D110" i="6"/>
  <c r="D111" i="6"/>
  <c r="D112" i="6"/>
  <c r="D106" i="6"/>
  <c r="C107" i="6"/>
  <c r="C108" i="6"/>
  <c r="C109" i="6"/>
  <c r="C110" i="6"/>
  <c r="C111" i="6"/>
  <c r="C112" i="6"/>
  <c r="B107" i="6"/>
  <c r="B108" i="6"/>
  <c r="B109" i="6"/>
  <c r="B110" i="6"/>
  <c r="B111" i="6"/>
  <c r="B112" i="6"/>
  <c r="C106" i="6"/>
  <c r="B106" i="6"/>
  <c r="A107" i="6"/>
  <c r="A108" i="6"/>
  <c r="A109" i="6"/>
  <c r="A110" i="6"/>
  <c r="A111" i="6"/>
  <c r="A112" i="6"/>
  <c r="A106" i="6"/>
  <c r="D86" i="6"/>
  <c r="D87" i="6"/>
  <c r="D88" i="6"/>
  <c r="D89" i="6"/>
  <c r="D90" i="6"/>
  <c r="D91" i="6"/>
  <c r="D85" i="6"/>
  <c r="C86" i="6"/>
  <c r="C87" i="6"/>
  <c r="C88" i="6"/>
  <c r="C89" i="6"/>
  <c r="C90" i="6"/>
  <c r="C91" i="6"/>
  <c r="C85" i="6"/>
  <c r="B86" i="6"/>
  <c r="B87" i="6"/>
  <c r="B88" i="6"/>
  <c r="B89" i="6"/>
  <c r="B90" i="6"/>
  <c r="B91" i="6"/>
  <c r="B85" i="6"/>
  <c r="A86" i="6"/>
  <c r="A87" i="6"/>
  <c r="A88" i="6"/>
  <c r="A89" i="6"/>
  <c r="A90" i="6"/>
  <c r="A91" i="6"/>
  <c r="A85" i="6"/>
  <c r="C65" i="6"/>
  <c r="C66" i="6"/>
  <c r="C67" i="6"/>
  <c r="C68" i="6"/>
  <c r="C69" i="6"/>
  <c r="C70" i="6"/>
  <c r="C64" i="6"/>
  <c r="B65" i="6"/>
  <c r="B66" i="6"/>
  <c r="B67" i="6"/>
  <c r="B68" i="6"/>
  <c r="B69" i="6"/>
  <c r="E70" i="6" s="1"/>
  <c r="B70" i="6"/>
  <c r="B64" i="6"/>
  <c r="A65" i="6"/>
  <c r="A66" i="6"/>
  <c r="A67" i="6"/>
  <c r="A68" i="6"/>
  <c r="A69" i="6"/>
  <c r="A70" i="6"/>
  <c r="A64" i="6"/>
  <c r="C44" i="6"/>
  <c r="C45" i="6"/>
  <c r="C46" i="6"/>
  <c r="C47" i="6"/>
  <c r="C48" i="6"/>
  <c r="C49" i="6"/>
  <c r="C43" i="6"/>
  <c r="B44" i="6"/>
  <c r="B45" i="6"/>
  <c r="B46" i="6"/>
  <c r="B47" i="6"/>
  <c r="B48" i="6"/>
  <c r="E43" i="6" s="1"/>
  <c r="B49" i="6"/>
  <c r="B43" i="6"/>
  <c r="A44" i="6"/>
  <c r="A45" i="6"/>
  <c r="A46" i="6"/>
  <c r="A47" i="6"/>
  <c r="A48" i="6"/>
  <c r="A49" i="6"/>
  <c r="A43" i="6"/>
  <c r="C4" i="6"/>
  <c r="C5" i="6"/>
  <c r="C6" i="6"/>
  <c r="C7" i="6"/>
  <c r="C8" i="6"/>
  <c r="C9" i="6"/>
  <c r="C3" i="6"/>
  <c r="B4" i="6"/>
  <c r="B5" i="6"/>
  <c r="B6" i="6"/>
  <c r="E3" i="6" s="1"/>
  <c r="B7" i="6"/>
  <c r="B8" i="6"/>
  <c r="E9" i="6" s="1"/>
  <c r="B9" i="6"/>
  <c r="B3" i="6"/>
  <c r="A4" i="6"/>
  <c r="A5" i="6"/>
  <c r="A6" i="6"/>
  <c r="A7" i="6"/>
  <c r="A8" i="6"/>
  <c r="A9" i="6"/>
  <c r="A3" i="6"/>
  <c r="C24" i="6"/>
  <c r="C25" i="6"/>
  <c r="C26" i="6"/>
  <c r="C27" i="6"/>
  <c r="C28" i="6"/>
  <c r="C29" i="6"/>
  <c r="C23" i="6"/>
  <c r="B24" i="6"/>
  <c r="B25" i="6"/>
  <c r="B26" i="6"/>
  <c r="B27" i="6"/>
  <c r="B28" i="6"/>
  <c r="B29" i="6"/>
  <c r="B23" i="6"/>
  <c r="A29" i="6"/>
  <c r="A28" i="6"/>
  <c r="A27" i="6"/>
  <c r="A26" i="6"/>
  <c r="A25" i="6"/>
  <c r="A24" i="6"/>
  <c r="A23" i="6"/>
  <c r="B3" i="5"/>
  <c r="C3" i="5" s="1"/>
  <c r="B4" i="5"/>
  <c r="B5" i="5"/>
  <c r="G5" i="5" s="1"/>
  <c r="B6" i="5"/>
  <c r="B7" i="5"/>
  <c r="D7" i="5" s="1"/>
  <c r="B8" i="5"/>
  <c r="FL6" i="1"/>
  <c r="FL7" i="1"/>
  <c r="FL8" i="1"/>
  <c r="FL9" i="1"/>
  <c r="FL10" i="1"/>
  <c r="FL11" i="1"/>
  <c r="FL5" i="1"/>
  <c r="A8" i="5"/>
  <c r="A7" i="5"/>
  <c r="A6" i="5"/>
  <c r="A5" i="5"/>
  <c r="A4" i="5"/>
  <c r="A3" i="5"/>
  <c r="A2" i="5"/>
  <c r="C3" i="4"/>
  <c r="C4" i="4"/>
  <c r="C5" i="4"/>
  <c r="C6" i="4"/>
  <c r="C7" i="4"/>
  <c r="C8" i="4"/>
  <c r="C2" i="4"/>
  <c r="A8" i="4"/>
  <c r="A7" i="4"/>
  <c r="A6" i="4"/>
  <c r="A5" i="4"/>
  <c r="A4" i="4"/>
  <c r="A3" i="4"/>
  <c r="A2" i="4"/>
  <c r="FN6" i="1"/>
  <c r="FN7" i="1"/>
  <c r="FN8" i="1"/>
  <c r="FN9" i="1"/>
  <c r="FN10" i="1"/>
  <c r="FN11" i="1"/>
  <c r="FN5" i="1"/>
  <c r="FN12" i="1" s="1"/>
  <c r="B9" i="3" s="1"/>
  <c r="FM6" i="1"/>
  <c r="FM7" i="1"/>
  <c r="FM8" i="1"/>
  <c r="FM9" i="1"/>
  <c r="FM10" i="1"/>
  <c r="FM11" i="1"/>
  <c r="FM5" i="1"/>
  <c r="FM12" i="1" s="1"/>
  <c r="B8" i="3" s="1"/>
  <c r="FK6" i="1"/>
  <c r="FK7" i="1"/>
  <c r="FK8" i="1"/>
  <c r="FK9" i="1"/>
  <c r="FK10" i="1"/>
  <c r="FK11" i="1"/>
  <c r="FK5" i="1"/>
  <c r="FK12" i="1" s="1"/>
  <c r="B6" i="3" s="1"/>
  <c r="FJ6" i="1"/>
  <c r="FJ7" i="1"/>
  <c r="FJ8" i="1"/>
  <c r="FJ9" i="1"/>
  <c r="FJ10" i="1"/>
  <c r="FJ11" i="1"/>
  <c r="FJ5" i="1"/>
  <c r="FJ12" i="1" s="1"/>
  <c r="B5" i="3" s="1"/>
  <c r="FI6" i="1"/>
  <c r="FI7" i="1"/>
  <c r="FI8" i="1"/>
  <c r="FI9" i="1"/>
  <c r="FI10" i="1"/>
  <c r="FI11" i="1"/>
  <c r="FI5" i="1"/>
  <c r="FI12" i="1" s="1"/>
  <c r="B3" i="3" s="1"/>
  <c r="B4" i="2"/>
  <c r="A2" i="2"/>
  <c r="A3" i="2"/>
  <c r="A4" i="2"/>
  <c r="A5" i="2"/>
  <c r="A6" i="2"/>
  <c r="A7" i="2"/>
  <c r="A8" i="2"/>
  <c r="BB5" i="1"/>
  <c r="ER6" i="1"/>
  <c r="ER7" i="1"/>
  <c r="ER8" i="1"/>
  <c r="ER9" i="1"/>
  <c r="ER10" i="1"/>
  <c r="ER11" i="1"/>
  <c r="ER5" i="1"/>
  <c r="ED6" i="1"/>
  <c r="ED7" i="1"/>
  <c r="ED8" i="1"/>
  <c r="ED9" i="1"/>
  <c r="ED10" i="1"/>
  <c r="ED11" i="1"/>
  <c r="ED5" i="1"/>
  <c r="DP6" i="1"/>
  <c r="DP7" i="1"/>
  <c r="DP8" i="1"/>
  <c r="DP9" i="1"/>
  <c r="DP10" i="1"/>
  <c r="DP11" i="1"/>
  <c r="DP5" i="1"/>
  <c r="DB6" i="1"/>
  <c r="DB7" i="1"/>
  <c r="DB8" i="1"/>
  <c r="DB9" i="1"/>
  <c r="DB10" i="1"/>
  <c r="DB11" i="1"/>
  <c r="DB5" i="1"/>
  <c r="CN6" i="1"/>
  <c r="CN7" i="1"/>
  <c r="CN8" i="1"/>
  <c r="CN9" i="1"/>
  <c r="CN10" i="1"/>
  <c r="CN11" i="1"/>
  <c r="CN5" i="1"/>
  <c r="BZ6" i="1"/>
  <c r="BZ7" i="1"/>
  <c r="BZ8" i="1"/>
  <c r="BZ9" i="1"/>
  <c r="BZ10" i="1"/>
  <c r="BZ11" i="1"/>
  <c r="BZ5" i="1"/>
  <c r="BL6" i="1"/>
  <c r="BL7" i="1"/>
  <c r="BL8" i="1"/>
  <c r="BL9" i="1"/>
  <c r="BL10" i="1"/>
  <c r="BL11" i="1"/>
  <c r="BL5" i="1"/>
  <c r="AX6" i="1"/>
  <c r="AX7" i="1"/>
  <c r="AX8" i="1"/>
  <c r="AX9" i="1"/>
  <c r="AX10" i="1"/>
  <c r="AX11" i="1"/>
  <c r="AX5" i="1"/>
  <c r="AJ5" i="1"/>
  <c r="V5" i="1"/>
  <c r="AN11" i="1"/>
  <c r="FB10" i="1"/>
  <c r="FB11" i="1"/>
  <c r="FB5" i="1"/>
  <c r="FB6" i="1"/>
  <c r="FB7" i="1"/>
  <c r="FB8" i="1"/>
  <c r="EV10" i="1"/>
  <c r="EV11" i="1"/>
  <c r="EV5" i="1"/>
  <c r="EV6" i="1"/>
  <c r="EV7" i="1"/>
  <c r="EV8" i="1"/>
  <c r="EN10" i="1"/>
  <c r="EN11" i="1"/>
  <c r="EN5" i="1"/>
  <c r="EN6" i="1"/>
  <c r="EN7" i="1"/>
  <c r="EN8" i="1"/>
  <c r="EH10" i="1"/>
  <c r="EH11" i="1"/>
  <c r="EH5" i="1"/>
  <c r="EH6" i="1"/>
  <c r="EH7" i="1"/>
  <c r="EH8" i="1"/>
  <c r="DZ10" i="1"/>
  <c r="DZ11" i="1"/>
  <c r="DZ5" i="1"/>
  <c r="DZ6" i="1"/>
  <c r="DZ7" i="1"/>
  <c r="DZ8" i="1"/>
  <c r="DT10" i="1"/>
  <c r="DT11" i="1"/>
  <c r="DT5" i="1"/>
  <c r="DT6" i="1"/>
  <c r="DT7" i="1"/>
  <c r="DT8" i="1"/>
  <c r="DL10" i="1"/>
  <c r="DL11" i="1"/>
  <c r="DL5" i="1"/>
  <c r="DL6" i="1"/>
  <c r="DL7" i="1"/>
  <c r="DL8" i="1"/>
  <c r="DF10" i="1"/>
  <c r="DF11" i="1"/>
  <c r="DF5" i="1"/>
  <c r="DF6" i="1"/>
  <c r="DF7" i="1"/>
  <c r="DF8" i="1"/>
  <c r="CX10" i="1"/>
  <c r="CX11" i="1"/>
  <c r="CX5" i="1"/>
  <c r="CX6" i="1"/>
  <c r="CX7" i="1"/>
  <c r="CX8" i="1"/>
  <c r="CR10" i="1"/>
  <c r="CR11" i="1"/>
  <c r="CR5" i="1"/>
  <c r="CR6" i="1"/>
  <c r="CR7" i="1"/>
  <c r="CR8" i="1"/>
  <c r="CJ10" i="1"/>
  <c r="CJ11" i="1"/>
  <c r="CJ5" i="1"/>
  <c r="CJ6" i="1"/>
  <c r="CJ7" i="1"/>
  <c r="CJ8" i="1"/>
  <c r="CD10" i="1"/>
  <c r="CD11" i="1"/>
  <c r="CD5" i="1"/>
  <c r="CD6" i="1"/>
  <c r="CD7" i="1"/>
  <c r="CD8" i="1"/>
  <c r="BV10" i="1"/>
  <c r="BV11" i="1"/>
  <c r="BV5" i="1"/>
  <c r="BV6" i="1"/>
  <c r="BV7" i="1"/>
  <c r="BV8" i="1"/>
  <c r="BP10" i="1"/>
  <c r="BP11" i="1"/>
  <c r="BP5" i="1"/>
  <c r="BP6" i="1"/>
  <c r="BP7" i="1"/>
  <c r="BP8" i="1"/>
  <c r="BH10" i="1"/>
  <c r="BH11" i="1"/>
  <c r="BH5" i="1"/>
  <c r="BH6" i="1"/>
  <c r="BH7" i="1"/>
  <c r="BH8" i="1"/>
  <c r="BB10" i="1"/>
  <c r="BB11" i="1"/>
  <c r="BB6" i="1"/>
  <c r="BB7" i="1"/>
  <c r="BB8" i="1"/>
  <c r="AT10" i="1"/>
  <c r="AT11" i="1"/>
  <c r="AT5" i="1"/>
  <c r="AT6" i="1"/>
  <c r="AT7" i="1"/>
  <c r="AT8" i="1"/>
  <c r="AN10" i="1"/>
  <c r="AN5" i="1"/>
  <c r="AN6" i="1"/>
  <c r="AN7" i="1"/>
  <c r="FH7" i="1" s="1"/>
  <c r="AN8" i="1"/>
  <c r="AF10" i="1"/>
  <c r="AF11" i="1"/>
  <c r="AF5" i="1"/>
  <c r="AF6" i="1"/>
  <c r="AF7" i="1"/>
  <c r="AF8" i="1"/>
  <c r="Z10" i="1"/>
  <c r="Z11" i="1"/>
  <c r="Z5" i="1"/>
  <c r="Z6" i="1"/>
  <c r="Z7" i="1"/>
  <c r="Z8" i="1"/>
  <c r="FB9" i="1"/>
  <c r="EN9" i="1"/>
  <c r="DZ9" i="1"/>
  <c r="DL9" i="1"/>
  <c r="CX9" i="1"/>
  <c r="CJ9" i="1"/>
  <c r="BV9" i="1"/>
  <c r="BH9" i="1"/>
  <c r="AT9" i="1"/>
  <c r="AF9" i="1"/>
  <c r="EV9" i="1"/>
  <c r="EH9" i="1"/>
  <c r="DT9" i="1"/>
  <c r="DF9" i="1"/>
  <c r="CR9" i="1"/>
  <c r="CD9" i="1"/>
  <c r="BP9" i="1"/>
  <c r="BB9" i="1"/>
  <c r="AN9" i="1"/>
  <c r="FH9" i="1" s="1"/>
  <c r="AJ7" i="1"/>
  <c r="AJ8" i="1"/>
  <c r="AJ9" i="1"/>
  <c r="AJ10" i="1"/>
  <c r="AJ11" i="1"/>
  <c r="AJ6" i="1"/>
  <c r="V10" i="1"/>
  <c r="V11" i="1"/>
  <c r="V6" i="1"/>
  <c r="V7" i="1"/>
  <c r="V8" i="1"/>
  <c r="V9" i="1"/>
  <c r="Z9" i="1"/>
  <c r="FG6" i="1"/>
  <c r="FG7" i="1"/>
  <c r="FG8" i="1"/>
  <c r="FG9" i="1"/>
  <c r="FG10" i="1"/>
  <c r="FG11" i="1"/>
  <c r="FG5" i="1"/>
  <c r="FD5" i="1"/>
  <c r="FE5" i="1"/>
  <c r="FD6" i="1"/>
  <c r="FE6" i="1"/>
  <c r="FD7" i="1"/>
  <c r="FE7" i="1"/>
  <c r="FD8" i="1"/>
  <c r="FE8" i="1"/>
  <c r="FD9" i="1"/>
  <c r="B6" i="4" s="1"/>
  <c r="FE9" i="1"/>
  <c r="FD10" i="1"/>
  <c r="B7" i="4" s="1"/>
  <c r="FE10" i="1"/>
  <c r="FE11" i="1"/>
  <c r="FD11" i="1"/>
  <c r="B8" i="4" s="1"/>
  <c r="M3" i="7" l="1"/>
  <c r="G7" i="5"/>
  <c r="H7" i="5" s="1"/>
  <c r="E108" i="6"/>
  <c r="E107" i="6"/>
  <c r="E44" i="6"/>
  <c r="E131" i="6"/>
  <c r="E5" i="5"/>
  <c r="E65" i="6"/>
  <c r="C5" i="5"/>
  <c r="E49" i="6"/>
  <c r="E91" i="6"/>
  <c r="E48" i="6"/>
  <c r="F5" i="5"/>
  <c r="E4" i="6"/>
  <c r="E45" i="6"/>
  <c r="D5" i="5"/>
  <c r="E46" i="6"/>
  <c r="E171" i="6"/>
  <c r="E130" i="6"/>
  <c r="E170" i="6"/>
  <c r="E190" i="6"/>
  <c r="E196" i="6"/>
  <c r="E85" i="6"/>
  <c r="E90" i="6"/>
  <c r="E89" i="6"/>
  <c r="E88" i="6"/>
  <c r="E128" i="6"/>
  <c r="E47" i="6"/>
  <c r="E87" i="6"/>
  <c r="E148" i="6"/>
  <c r="E195" i="6"/>
  <c r="F3" i="5"/>
  <c r="H3" i="5" s="1"/>
  <c r="E86" i="6"/>
  <c r="E154" i="6"/>
  <c r="E194" i="6"/>
  <c r="E153" i="6"/>
  <c r="E193" i="6"/>
  <c r="D3" i="5"/>
  <c r="E192" i="6"/>
  <c r="E152" i="6"/>
  <c r="E64" i="6"/>
  <c r="E111" i="6"/>
  <c r="E151" i="6"/>
  <c r="E150" i="6"/>
  <c r="E109" i="6"/>
  <c r="E169" i="6"/>
  <c r="G3" i="5"/>
  <c r="E69" i="6"/>
  <c r="E8" i="6"/>
  <c r="E67" i="6"/>
  <c r="E175" i="6"/>
  <c r="E68" i="6"/>
  <c r="E7" i="6"/>
  <c r="E66" i="6"/>
  <c r="E127" i="6"/>
  <c r="E174" i="6"/>
  <c r="E3" i="5"/>
  <c r="E6" i="6"/>
  <c r="E133" i="6"/>
  <c r="E173" i="6"/>
  <c r="E172" i="6"/>
  <c r="D44" i="6"/>
  <c r="D3" i="6"/>
  <c r="D24" i="6"/>
  <c r="D45" i="6"/>
  <c r="D68" i="6"/>
  <c r="D47" i="6"/>
  <c r="D46" i="6"/>
  <c r="D43" i="6"/>
  <c r="D67" i="6"/>
  <c r="D66" i="6"/>
  <c r="D25" i="6"/>
  <c r="D9" i="6"/>
  <c r="D27" i="6"/>
  <c r="D26" i="6"/>
  <c r="D48" i="6"/>
  <c r="E28" i="6"/>
  <c r="D49" i="6"/>
  <c r="D65" i="6"/>
  <c r="D64" i="6"/>
  <c r="D70" i="6"/>
  <c r="D69" i="6"/>
  <c r="D28" i="6"/>
  <c r="D6" i="6"/>
  <c r="D5" i="6"/>
  <c r="D4" i="6"/>
  <c r="D8" i="6"/>
  <c r="D7" i="6"/>
  <c r="E29" i="6"/>
  <c r="E26" i="6"/>
  <c r="E25" i="6"/>
  <c r="E24" i="6"/>
  <c r="D23" i="6"/>
  <c r="E27" i="6"/>
  <c r="D29" i="6"/>
  <c r="E23" i="6"/>
  <c r="FH6" i="1"/>
  <c r="FH11" i="1"/>
  <c r="FH5" i="1"/>
  <c r="B8" i="2"/>
  <c r="B5" i="4"/>
  <c r="B7" i="2"/>
  <c r="FE12" i="1"/>
  <c r="B4" i="3" s="1"/>
  <c r="FL12" i="1"/>
  <c r="B7" i="3" s="1"/>
  <c r="B4" i="4"/>
  <c r="FD12" i="1"/>
  <c r="FH10" i="1"/>
  <c r="B6" i="2"/>
  <c r="FH8" i="1"/>
  <c r="B5" i="2"/>
  <c r="B3" i="4"/>
  <c r="B3" i="2"/>
  <c r="B2" i="4"/>
  <c r="B2" i="5"/>
  <c r="FH12" i="1"/>
  <c r="B2" i="3" s="1"/>
  <c r="FF11" i="1"/>
  <c r="FF10" i="1"/>
  <c r="FF6" i="1"/>
  <c r="FF8" i="1"/>
  <c r="FF7" i="1"/>
  <c r="FF9" i="1"/>
  <c r="FF5" i="1"/>
  <c r="B157" i="6" l="1"/>
  <c r="B156" i="6" s="1"/>
  <c r="B178" i="6"/>
  <c r="B177" i="6" s="1"/>
  <c r="B115" i="6"/>
  <c r="B114" i="6" s="1"/>
  <c r="H5" i="5"/>
  <c r="B136" i="6"/>
  <c r="B135" i="6" s="1"/>
  <c r="B199" i="6"/>
  <c r="B198" i="6" s="1"/>
  <c r="B94" i="6"/>
  <c r="B93" i="6" s="1"/>
  <c r="B73" i="6"/>
  <c r="B72" i="6" s="1"/>
  <c r="B12" i="6"/>
  <c r="B11" i="6" s="1"/>
  <c r="B32" i="6"/>
  <c r="B31" i="6" s="1"/>
  <c r="B52" i="6"/>
  <c r="B51" i="6" s="1"/>
  <c r="FF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<sst xmlns="http://schemas.openxmlformats.org/spreadsheetml/2006/main" count="420" uniqueCount="131">
  <si>
    <t>Signal Android</t>
  </si>
  <si>
    <t>Execution 1</t>
  </si>
  <si>
    <t>Execution 2</t>
  </si>
  <si>
    <t>LOC</t>
  </si>
  <si>
    <t>Total Files Scanned</t>
  </si>
  <si>
    <t>Kotlin Files Scanned</t>
  </si>
  <si>
    <t>Java Files Scanned</t>
  </si>
  <si>
    <t>Repository size (MB)</t>
  </si>
  <si>
    <t>Apk size (MB)</t>
  </si>
  <si>
    <t>Semgrep Findings</t>
  </si>
  <si>
    <t>Execution 3</t>
  </si>
  <si>
    <t>https://github.com/signalapp/Signal-Android</t>
  </si>
  <si>
    <t>https://github.com/thunderbird/thunderbird-android</t>
  </si>
  <si>
    <t>.\gradlew.bat --no-daemon clean :Signal-Android:assemblePlayProdRelease</t>
  </si>
  <si>
    <t>.\gradlew.bat --no-daemon clean :app-thunderbird:assembleRelease</t>
  </si>
  <si>
    <t>Repository</t>
  </si>
  <si>
    <t>8.14.3</t>
  </si>
  <si>
    <t>19.2</t>
  </si>
  <si>
    <t>3.11.4</t>
  </si>
  <si>
    <t>K-9 Mail (Thunderbird Android)</t>
  </si>
  <si>
    <t>https://github.com/AntennaPod/AntennaPod</t>
  </si>
  <si>
    <t>.\gradlew.bat --no-daemon clean assembleRelease</t>
  </si>
  <si>
    <t>.\gradlew.bat --no-daemon clean :app:assemblePlayRelease</t>
  </si>
  <si>
    <t>Markor</t>
  </si>
  <si>
    <t>https://github.com/gsantner/markor</t>
  </si>
  <si>
    <t>2.16.1</t>
  </si>
  <si>
    <t>.\gradlew.bat --no-daemon clean :app:assembleFlavorGplayRelease</t>
  </si>
  <si>
    <t>1.18.0</t>
  </si>
  <si>
    <t>https://github.com/f-droid/fdroidclient</t>
  </si>
  <si>
    <t>Fdroidclient</t>
  </si>
  <si>
    <t>Damn-Vulnerable-Android-Components</t>
  </si>
  <si>
    <t>https://github.com/zinja-coder/Damn-Vulnerable-Android-Components</t>
  </si>
  <si>
    <t>OpenMRS</t>
  </si>
  <si>
    <t>https://github.com/investigaciongiis/openMRS</t>
  </si>
  <si>
    <t>total=469 yes=22 no=388 n/a=59</t>
  </si>
  <si>
    <t>total=469 yes=26 no=379 n/a=64</t>
  </si>
  <si>
    <t>total=469 yes=37 no=367 n/a=65</t>
  </si>
  <si>
    <t>total=469 yes=31 no=373 n/a=65</t>
  </si>
  <si>
    <t>LLM: gpt-oss</t>
  </si>
  <si>
    <t>Compliance summary</t>
  </si>
  <si>
    <t>Total Time (s.)</t>
  </si>
  <si>
    <t>Compile Time (s.)</t>
  </si>
  <si>
    <t>Audit Time (s.)</t>
  </si>
  <si>
    <t>Version</t>
  </si>
  <si>
    <t>Application</t>
  </si>
  <si>
    <t>Java</t>
  </si>
  <si>
    <t>Build command</t>
  </si>
  <si>
    <t>AntennaPod</t>
  </si>
  <si>
    <t>CodeQL Findings</t>
  </si>
  <si>
    <t>Files extracted by MobSF</t>
  </si>
  <si>
    <t>MobSF risk findings</t>
  </si>
  <si>
    <t>Android components</t>
  </si>
  <si>
    <t>Exported Android components</t>
  </si>
  <si>
    <t>UFP (Unadjusted Function Points)</t>
  </si>
  <si>
    <t>Execution 4</t>
  </si>
  <si>
    <t>Execution 5</t>
  </si>
  <si>
    <t>Execution 6</t>
  </si>
  <si>
    <t>Execution 7</t>
  </si>
  <si>
    <t>Execution 8</t>
  </si>
  <si>
    <t>Execution 9</t>
  </si>
  <si>
    <t>Execution 10</t>
  </si>
  <si>
    <t>Mean</t>
  </si>
  <si>
    <t>total=469 yes=28 no=382 n/a=59</t>
  </si>
  <si>
    <t>https://github.com/investigaciongiis/test_fdroidclient</t>
  </si>
  <si>
    <t>https://github.com/investigaciongiis/test_dvac</t>
  </si>
  <si>
    <t>https://github.com/investigaciongiis/test_openMRS</t>
  </si>
  <si>
    <t>https://github.com/investigaciongiis/test_markor</t>
  </si>
  <si>
    <t>https://github.com/investigaciongiis/test_AntennaPod</t>
  </si>
  <si>
    <t>https://github.com/investigaciongiis/test_k9_mail</t>
  </si>
  <si>
    <t>https://github.com/investigaciongiis/test_signal_android</t>
  </si>
  <si>
    <t>total=469 yes=51 no=358 n/a=60</t>
  </si>
  <si>
    <t>CodeQL Analysis Time (s.)</t>
  </si>
  <si>
    <t>Trivi Scan Time (s.)</t>
  </si>
  <si>
    <t>MobSF Analysis Time (s.)</t>
  </si>
  <si>
    <t>MobSF Time (s.)</t>
  </si>
  <si>
    <t>Analysis Time (s.)</t>
  </si>
  <si>
    <t>Evaluate security requirements (s.)</t>
  </si>
  <si>
    <t>Generate structured JSON outpt (s.)</t>
  </si>
  <si>
    <t>Generate final summary (s.)</t>
  </si>
  <si>
    <t>Vision360 generator (s.)</t>
  </si>
  <si>
    <t>Total Generate final summary (s.)</t>
  </si>
  <si>
    <t>Download and install OpenOffice (s.)</t>
  </si>
  <si>
    <t>MobSF</t>
  </si>
  <si>
    <t>CodeQL</t>
  </si>
  <si>
    <t>Compile</t>
  </si>
  <si>
    <t>Vision360</t>
  </si>
  <si>
    <t>Trivy</t>
  </si>
  <si>
    <t>Final summary</t>
  </si>
  <si>
    <t>JSON output</t>
  </si>
  <si>
    <t>Req. Evaluation</t>
  </si>
  <si>
    <t>Total</t>
  </si>
  <si>
    <t>Requirement evaluation (%)</t>
  </si>
  <si>
    <t>JSON generation (%)</t>
  </si>
  <si>
    <t>Final summary (%)</t>
  </si>
  <si>
    <t>MobSF Analisys</t>
  </si>
  <si>
    <t>CodeQL Analisys</t>
  </si>
  <si>
    <t>Trivy Analisys</t>
  </si>
  <si>
    <t>Total:</t>
  </si>
  <si>
    <t>Vision360 (%)</t>
  </si>
  <si>
    <t>Mean time</t>
  </si>
  <si>
    <t>Repository size</t>
  </si>
  <si>
    <t>Rank repository</t>
  </si>
  <si>
    <t>Rank time</t>
  </si>
  <si>
    <t>Spearman ρ:</t>
  </si>
  <si>
    <t>Spearman rho:</t>
  </si>
  <si>
    <t>UFP</t>
  </si>
  <si>
    <t>Repository Size (MB)</t>
  </si>
  <si>
    <t>Total Findings</t>
  </si>
  <si>
    <t>MobSF Risk Findings</t>
  </si>
  <si>
    <t>Android Components</t>
  </si>
  <si>
    <t>Others (%)</t>
  </si>
  <si>
    <t>Parallel (CodeQL, Trivy, MobSF, zipped code) (%)</t>
  </si>
  <si>
    <t>Respository size</t>
  </si>
  <si>
    <t>equal</t>
  </si>
  <si>
    <t>MIN</t>
  </si>
  <si>
    <t>MAX</t>
  </si>
  <si>
    <t>Mean audit</t>
  </si>
  <si>
    <t>Mean compile</t>
  </si>
  <si>
    <t>SD (min)</t>
  </si>
  <si>
    <t>CV (%)</t>
  </si>
  <si>
    <t>Predicted time</t>
  </si>
  <si>
    <t>Error</t>
  </si>
  <si>
    <t>Error^2</t>
  </si>
  <si>
    <t>Total variance component</t>
  </si>
  <si>
    <t>R^2:</t>
  </si>
  <si>
    <t>Total scanned files</t>
  </si>
  <si>
    <t>LOOCV predicted time</t>
  </si>
  <si>
    <t>Absolute error</t>
  </si>
  <si>
    <t>LOOCV MAE:</t>
  </si>
  <si>
    <t>Testing repository</t>
  </si>
  <si>
    <t>3.1.1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</si>
</sst>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2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Mean</a:t>
            </a:r>
            <a:r>
              <a:rPr lang="es-ES" baseline="0"/>
              <a:t> mSEC-AT execution time per application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'Execution-time results'!$A$2:$A$8</c:f>
              <c:strCache>
                <c:ptCount val="7"/>
                <c:pt idx="0">
                  <c:v>Signal Android</c:v>
                </c:pt>
                <c:pt idx="1">
                  <c:v>K-9 Mail (Thunderbird Android)</c:v>
                </c:pt>
                <c:pt idx="2">
                  <c:v>AntennaPod</c:v>
                </c:pt>
                <c:pt idx="3">
                  <c:v>Markor</c:v>
                </c:pt>
                <c:pt idx="4">
                  <c:v>Fdroidclient</c:v>
                </c:pt>
                <c:pt idx="5">
                  <c:v>Damn-Vulnerable-Android-Components</c:v>
                </c:pt>
                <c:pt idx="6">
                  <c:v>OpenMRS</c:v>
                </c:pt>
              </c:strCache>
            </c:strRef>
          </c:cat>
          <c:val>
            <c:numRef>
              <c:f>'Execution-time results'!$B$2:$B$8</c:f>
              <c:numCache>
                <c:formatCode>General</c:formatCode>
                <c:ptCount val="7"/>
                <c:pt idx="0">
                  <c:v>29.826666666666664</c:v>
                </c:pt>
                <c:pt idx="1">
                  <c:v>14.74</c:v>
                </c:pt>
                <c:pt idx="2">
                  <c:v>9.5933333333333337</c:v>
                </c:pt>
                <c:pt idx="3">
                  <c:v>7.2866666666666662</c:v>
                </c:pt>
                <c:pt idx="4">
                  <c:v>9.0149999999999988</c:v>
                </c:pt>
                <c:pt idx="5">
                  <c:v>6.7816666666666663</c:v>
                </c:pt>
                <c:pt idx="6">
                  <c:v>6.996666666666667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0-49FC-92CF-EA869A3DE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3509327"/>
        <c:axId val="572338863"/>
      </c:barChart>
      <c:catAx>
        <c:axId val="72350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2338863"/>
        <c:crosses val="autoZero"/>
        <c:auto val="1"/>
        <c:lblAlgn val="ctr"/>
        <c:lblOffset val="100"/>
        <c:noMultiLvlLbl val="0"/>
      </c:catAx>
      <c:valAx>
        <c:axId val="57233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350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Average</a:t>
            </a:r>
            <a:r>
              <a:rPr lang="es-ES" baseline="0"/>
              <a:t> duration of selected pipeline operations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'Runtime by pipeline operation'!$A$2:$A$9</c:f>
              <c:strCache>
                <c:ptCount val="8"/>
                <c:pt idx="0">
                  <c:v>MobSF</c:v>
                </c:pt>
                <c:pt idx="1">
                  <c:v>CodeQL</c:v>
                </c:pt>
                <c:pt idx="2">
                  <c:v>Compile</c:v>
                </c:pt>
                <c:pt idx="3">
                  <c:v>Vision360</c:v>
                </c:pt>
                <c:pt idx="4">
                  <c:v>Trivy</c:v>
                </c:pt>
                <c:pt idx="5">
                  <c:v>Final summary</c:v>
                </c:pt>
                <c:pt idx="6">
                  <c:v>JSON output</c:v>
                </c:pt>
                <c:pt idx="7">
                  <c:v>Req. Evaluation</c:v>
                </c:pt>
              </c:strCache>
            </c:strRef>
          </c:cat>
          <c:val>
            <c:numRef>
              <c:f>'Runtime by pipeline operation'!$B$2:$B$9</c:f>
              <c:numCache>
                <c:formatCode>General</c:formatCode>
                <c:ptCount val="8"/>
                <c:pt idx="0">
                  <c:v>197.32857142857139</c:v>
                </c:pt>
                <c:pt idx="1">
                  <c:v>377.35714285714283</c:v>
                </c:pt>
                <c:pt idx="2">
                  <c:v>213.18571428571431</c:v>
                </c:pt>
                <c:pt idx="3">
                  <c:v>146.18571428571428</c:v>
                </c:pt>
                <c:pt idx="4">
                  <c:v>142.65714285714284</c:v>
                </c:pt>
                <c:pt idx="5">
                  <c:v>82.7</c:v>
                </c:pt>
                <c:pt idx="6">
                  <c:v>18.75714285714286</c:v>
                </c:pt>
                <c:pt idx="7">
                  <c:v>15.814285714285715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2-4937-BEB3-8816135B0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625247"/>
        <c:axId val="797489135"/>
      </c:barChart>
      <c:catAx>
        <c:axId val="8126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7489135"/>
        <c:crosses val="autoZero"/>
        <c:auto val="1"/>
        <c:lblAlgn val="ctr"/>
        <c:lblOffset val="100"/>
        <c:noMultiLvlLbl val="0"/>
      </c:catAx>
      <c:valAx>
        <c:axId val="79748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262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Repository size and 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747414259327171"/>
                  <c:y val="-2.3024794440255464E-3"/>
                </c:manualLayout>
              </c:layout>
              <c:tx>
                <c:rich>
                  <a:bodyPr/>
                  <a:lstStyle/>
                  <a:p>
                    <a:fld id="{C7E1FC49-9CA7-4F73-9651-199447F5263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44E-4F13-8E1F-33AC31820923}"/>
                </c:ext>
              </c:extLst>
            </c:dLbl>
            <c:dLbl>
              <c:idx val="1"/>
              <c:layout>
                <c:manualLayout>
                  <c:x val="2.0108441102009864E-2"/>
                  <c:y val="-1.1887529751488344E-16"/>
                </c:manualLayout>
              </c:layout>
              <c:tx>
                <c:rich>
                  <a:bodyPr/>
                  <a:lstStyle/>
                  <a:p>
                    <a:fld id="{ACF18C3A-4D3E-43E3-AC22-9A12E915207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44E-4F13-8E1F-33AC31820923}"/>
                </c:ext>
              </c:extLst>
            </c:dLbl>
            <c:dLbl>
              <c:idx val="2"/>
              <c:layout>
                <c:manualLayout>
                  <c:x val="-6.9948377850323845E-2"/>
                  <c:y val="-0.14200025272884606"/>
                </c:manualLayout>
              </c:layout>
              <c:tx>
                <c:rich>
                  <a:bodyPr/>
                  <a:lstStyle/>
                  <a:p>
                    <a:fld id="{423D4200-A7DB-44ED-8DD8-98C19543A74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44E-4F13-8E1F-33AC31820923}"/>
                </c:ext>
              </c:extLst>
            </c:dLbl>
            <c:dLbl>
              <c:idx val="3"/>
              <c:layout>
                <c:manualLayout>
                  <c:x val="-3.7208719830217493E-2"/>
                  <c:y val="-6.4325474143065192E-2"/>
                </c:manualLayout>
              </c:layout>
              <c:tx>
                <c:rich>
                  <a:bodyPr/>
                  <a:lstStyle/>
                  <a:p>
                    <a:fld id="{D62B84B8-FB65-4E20-A90E-F18824915B3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44E-4F13-8E1F-33AC318209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14D265F-5184-4229-A01C-73B46E9289B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44E-4F13-8E1F-33AC31820923}"/>
                </c:ext>
              </c:extLst>
            </c:dLbl>
            <c:dLbl>
              <c:idx val="5"/>
              <c:layout>
                <c:manualLayout>
                  <c:x val="-0.19354367917889781"/>
                  <c:y val="-0.13358595944409099"/>
                </c:manualLayout>
              </c:layout>
              <c:tx>
                <c:rich>
                  <a:bodyPr/>
                  <a:lstStyle/>
                  <a:p>
                    <a:fld id="{BE54FCBC-AF62-4733-961B-22FCF916BD4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03087107884786"/>
                      <c:h val="7.43700860420251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44E-4F13-8E1F-33AC31820923}"/>
                </c:ext>
              </c:extLst>
            </c:dLbl>
            <c:dLbl>
              <c:idx val="6"/>
              <c:layout>
                <c:manualLayout>
                  <c:x val="-0.15334451663483342"/>
                  <c:y val="-3.2234712216357819E-2"/>
                </c:manualLayout>
              </c:layout>
              <c:tx>
                <c:rich>
                  <a:bodyPr/>
                  <a:lstStyle/>
                  <a:p>
                    <a:fld id="{A26BEABB-6C23-4054-B186-6891B0B362E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44E-4F13-8E1F-33AC318209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'Scalability indicators'!$B$2:$B$8</c:f>
              <c:numCache>
                <c:formatCode>General</c:formatCode>
                <c:ptCount val="7"/>
                <c:pt idx="0">
                  <c:v>29.826666666666664</c:v>
                </c:pt>
                <c:pt idx="1">
                  <c:v>14.74</c:v>
                </c:pt>
                <c:pt idx="2">
                  <c:v>9.5933333333333337</c:v>
                </c:pt>
                <c:pt idx="3">
                  <c:v>7.2866666666666662</c:v>
                </c:pt>
                <c:pt idx="4">
                  <c:v>9.0149999999999988</c:v>
                </c:pt>
                <c:pt idx="5">
                  <c:v>6.7816666666666663</c:v>
                </c:pt>
                <c:pt idx="6">
                  <c:v>6.996666666666667</c:v>
                </c:pt>
              </c:numCache>
            </c:numRef>
          </c:xVal>
          <c:yVal>
            <c:numRef>
              <c:f>'Scalability indicators'!$C$2:$C$8</c:f>
              <c:numCache>
                <c:formatCode>General</c:formatCode>
                <c:ptCount val="7"/>
                <c:pt idx="0">
                  <c:v>2360</c:v>
                </c:pt>
                <c:pt idx="1">
                  <c:v>248</c:v>
                </c:pt>
                <c:pt idx="2">
                  <c:v>134</c:v>
                </c:pt>
                <c:pt idx="3">
                  <c:v>58.2</c:v>
                </c:pt>
                <c:pt idx="4">
                  <c:v>79.7</c:v>
                </c:pt>
                <c:pt idx="5">
                  <c:v>37.299999999999997</c:v>
                </c:pt>
                <c:pt idx="6">
                  <c:v>12.1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'Scalability indicators'!$A$2:$A$8</c15:f>
                <c15:dlblRangeCache>
                  <c:ptCount val="7"/>
                  <c:pt idx="0">
                    <c:v>Signal Android</c:v>
                  </c:pt>
                  <c:pt idx="1">
                    <c:v>K-9 Mail (Thunderbird Android)</c:v>
                  </c:pt>
                  <c:pt idx="2">
                    <c:v>AntennaPod</c:v>
                  </c:pt>
                  <c:pt idx="3">
                    <c:v>Markor</c:v>
                  </c:pt>
                  <c:pt idx="4">
                    <c:v>Fdroidclient</c:v>
                  </c:pt>
                  <c:pt idx="5">
                    <c:v>Damn-Vulnerable-Android-Components</c:v>
                  </c:pt>
                  <c:pt idx="6">
                    <c:v>OpenMRS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44E-4F13-8E1F-33AC31820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18287"/>
        <c:axId val="797447855"/>
      </c:scatterChart>
      <c:valAx>
        <c:axId val="81261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7447855"/>
        <c:crosses val="autoZero"/>
        <c:crossBetween val="midCat"/>
      </c:valAx>
      <c:valAx>
        <c:axId val="7974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261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Relative execution-time distribution by pipeline stage</a:t>
            </a:r>
            <a:endParaRPr lang="es-E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'Runtime distribution'!$C$1</c:f>
              <c:strCache>
                <c:ptCount val="1"/>
                <c:pt idx="0">
                  <c:v>Parallel (CodeQL, Trivy, MobSF, zipped code)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'Runtime distribution'!$C$2:$C$8</c:f>
              <c:numCache>
                <c:formatCode>General</c:formatCode>
                <c:ptCount val="7"/>
                <c:pt idx="0">
                  <c:v>64.15958873491283</c:v>
                </c:pt>
                <c:pt idx="1">
                  <c:v>37.833559475350519</c:v>
                </c:pt>
                <c:pt idx="2">
                  <c:v>72.168172341904096</c:v>
                </c:pt>
                <c:pt idx="3">
                  <c:v>60.178408051235145</c:v>
                </c:pt>
                <c:pt idx="4">
                  <c:v>64.20780181179515</c:v>
                </c:pt>
                <c:pt idx="5">
                  <c:v>64.217252396166145</c:v>
                </c:pt>
                <c:pt idx="6">
                  <c:v>65.435921867555962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1-4E91-9036-D0C3A8757B06}"/>
            </c:ext>
          </c:extLst>
        </c:ser>
        <c:ser>
          <c:idx val="1"/>
          <c:order val="1"/>
          <c:tx>
            <c:strRef>
              <c:f>'Runtime distribution'!$D$1</c:f>
              <c:strCache>
                <c:ptCount val="1"/>
                <c:pt idx="0">
                  <c:v>Vision360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'Runtime distribution'!$D$2:$D$8</c:f>
              <c:numCache>
                <c:formatCode>General</c:formatCode>
                <c:ptCount val="7"/>
                <c:pt idx="0">
                  <c:v>28.257711220384447</c:v>
                </c:pt>
                <c:pt idx="1">
                  <c:v>46.359113523292628</c:v>
                </c:pt>
                <c:pt idx="2">
                  <c:v>4.569145239749826</c:v>
                </c:pt>
                <c:pt idx="3">
                  <c:v>4.4373284537968889</c:v>
                </c:pt>
                <c:pt idx="4">
                  <c:v>6.9513773340728431</c:v>
                </c:pt>
                <c:pt idx="5">
                  <c:v>2.3347259768985009</c:v>
                </c:pt>
                <c:pt idx="6">
                  <c:v>3.5254883277751308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1-4E91-9036-D0C3A8757B06}"/>
            </c:ext>
          </c:extLst>
        </c:ser>
        <c:ser>
          <c:idx val="2"/>
          <c:order val="2"/>
          <c:tx>
            <c:strRef>
              <c:f>'Runtime distribution'!$E$1</c:f>
              <c:strCache>
                <c:ptCount val="1"/>
                <c:pt idx="0">
                  <c:v>Requirement evaluation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'Runtime distribution'!$E$2:$E$8</c:f>
              <c:numCache>
                <c:formatCode>General</c:formatCode>
                <c:ptCount val="7"/>
                <c:pt idx="0">
                  <c:v>0.97787215020116236</c:v>
                </c:pt>
                <c:pt idx="1">
                  <c:v>2.1257349615558572</c:v>
                </c:pt>
                <c:pt idx="2">
                  <c:v>2.5538568450312713</c:v>
                </c:pt>
                <c:pt idx="3">
                  <c:v>3.5452881976212263</c:v>
                </c:pt>
                <c:pt idx="4">
                  <c:v>2.8840820854132008</c:v>
                </c:pt>
                <c:pt idx="5">
                  <c:v>3.7355615630376011</c:v>
                </c:pt>
                <c:pt idx="6">
                  <c:v>3.1919961886612667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1-4E91-9036-D0C3A8757B06}"/>
            </c:ext>
          </c:extLst>
        </c:ser>
        <c:ser>
          <c:idx val="3"/>
          <c:order val="3"/>
          <c:tx>
            <c:strRef>
              <c:f>'Runtime distribution'!$F$1</c:f>
              <c:strCache>
                <c:ptCount val="1"/>
                <c:pt idx="0">
                  <c:v>JSON generation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'Runtime distribution'!$F$2:$F$8</c:f>
              <c:numCache>
                <c:formatCode>General</c:formatCode>
                <c:ptCount val="7"/>
                <c:pt idx="0">
                  <c:v>1.0728654447921324</c:v>
                </c:pt>
                <c:pt idx="1">
                  <c:v>2.1709633649932161</c:v>
                </c:pt>
                <c:pt idx="2">
                  <c:v>3.3877692842251559</c:v>
                </c:pt>
                <c:pt idx="3">
                  <c:v>4.3687099725526082</c:v>
                </c:pt>
                <c:pt idx="4">
                  <c:v>3.5496394897393237</c:v>
                </c:pt>
                <c:pt idx="5">
                  <c:v>4.2516588842467433</c:v>
                </c:pt>
                <c:pt idx="6">
                  <c:v>4.2401143401619823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51-4E91-9036-D0C3A8757B06}"/>
            </c:ext>
          </c:extLst>
        </c:ser>
        <c:ser>
          <c:idx val="4"/>
          <c:order val="4"/>
          <c:tx>
            <c:strRef>
              <c:f>'Runtime distribution'!$G$1</c:f>
              <c:strCache>
                <c:ptCount val="1"/>
                <c:pt idx="0">
                  <c:v>Final summary (%)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'Runtime distribution'!$G$2:$G$8</c:f>
              <c:numCache>
                <c:formatCode>General</c:formatCode>
                <c:ptCount val="7"/>
                <c:pt idx="0">
                  <c:v>4.4143942780509615</c:v>
                </c:pt>
                <c:pt idx="1">
                  <c:v>9.2265943012211658</c:v>
                </c:pt>
                <c:pt idx="2">
                  <c:v>13.603196664350243</c:v>
                </c:pt>
                <c:pt idx="3">
                  <c:v>21.317474839890213</c:v>
                </c:pt>
                <c:pt idx="4">
                  <c:v>16.435570345720098</c:v>
                </c:pt>
                <c:pt idx="5">
                  <c:v>20.12779552715655</c:v>
                </c:pt>
                <c:pt idx="6">
                  <c:v>18.103858980466885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51-4E91-9036-D0C3A8757B06}"/>
            </c:ext>
          </c:extLst>
        </c:ser>
        <c:ser>
          <c:idx val="5"/>
          <c:order val="5"/>
          <c:tx>
            <c:strRef>
              <c:f>'Runtime distribution'!$H$1</c:f>
              <c:strCache>
                <c:ptCount val="1"/>
                <c:pt idx="0">
                  <c:v>Others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'Runtime distribution'!$H$2:$H$8</c:f>
              <c:numCache>
                <c:formatCode>General</c:formatCode>
                <c:ptCount val="7"/>
                <c:pt idx="0">
                  <c:v>1.117568171658462</c:v>
                </c:pt>
                <c:pt idx="1">
                  <c:v>2.2840343735866071</c:v>
                </c:pt>
                <c:pt idx="2">
                  <c:v>3.7178596247393898</c:v>
                </c:pt>
                <c:pt idx="3">
                  <c:v>6.1527904849039174</c:v>
                </c:pt>
                <c:pt idx="4">
                  <c:v>5.9715289332593926</c:v>
                </c:pt>
                <c:pt idx="5">
                  <c:v>5.3330056524944638</c:v>
                </c:pt>
                <c:pt idx="6">
                  <c:v>5.5026202953787759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51-4E91-9036-D0C3A8757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080895"/>
        <c:axId val="797455535"/>
      </c:barChart>
      <c:catAx>
        <c:axId val="10180808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97455535"/>
        <c:crosses val="autoZero"/>
        <c:auto val="1"/>
        <c:lblAlgn val="ctr"/>
        <c:lblOffset val="100"/>
        <c:noMultiLvlLbl val="0"/>
      </c:catAx>
      <c:valAx>
        <c:axId val="7974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80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97986439297611"/>
          <c:y val="0.4026856981952821"/>
          <c:w val="0.29231719996219308"/>
          <c:h val="0.24930919999038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149501</xdr:colOff>
      <xdr:row>10</xdr:row>
      <xdr:rowOff>43482</xdr:rowOff>
    </xdr:from>
    <xdr:to>
      <xdr:col>8</xdr:col>
      <xdr:colOff>450988</xdr:colOff>
      <xdr:row>31</xdr:row>
      <xdr:rowOff>110157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4C4602-D69D-7B53-0EC7-F3F1DE68A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177362</xdr:colOff>
      <xdr:row>0</xdr:row>
      <xdr:rowOff>137948</xdr:rowOff>
    </xdr:from>
    <xdr:to>
      <xdr:col>11</xdr:col>
      <xdr:colOff>66674</xdr:colOff>
      <xdr:row>21</xdr:row>
      <xdr:rowOff>182617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92B562-C1FB-6519-4041-8BB87F460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769620</xdr:colOff>
      <xdr:row>3</xdr:row>
      <xdr:rowOff>68579</xdr:rowOff>
    </xdr:from>
    <xdr:to>
      <xdr:col>12</xdr:col>
      <xdr:colOff>740229</xdr:colOff>
      <xdr:row>33</xdr:row>
      <xdr:rowOff>32657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2B3A75A-3EE7-F175-7607-63E99FB74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506730</xdr:colOff>
      <xdr:row>10</xdr:row>
      <xdr:rowOff>39052</xdr:rowOff>
    </xdr:from>
    <xdr:to>
      <xdr:col>4</xdr:col>
      <xdr:colOff>1472565</xdr:colOff>
      <xdr:row>37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C5333-0A96-C570-58F1-ED1D64943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EADF-B027-440D-BD0E-A6D20B2AC162}">
  <dimension ref="A1:FN12"/>
  <sheetViews>
    <sheetView tabSelected="1" zoomScaleNormal="100" workbookViewId="0">
      <selection activeCell="C14" sqref="C14"/>
    </sheetView>
  </sheetViews>
  <sheetFormatPr baseColWidth="10" defaultRowHeight="15"/>
  <cols>
    <col min="1" max="1" width="35.7109375" customWidth="1"/>
    <col min="2" max="2" width="13.5703125" customWidth="1"/>
    <col min="3" max="3" width="65.140625" customWidth="1"/>
    <col min="4" max="4" width="52.5703125" customWidth="1"/>
    <col min="5" max="5" width="11.85546875" customWidth="1"/>
    <col min="6" max="6" width="69.85546875" customWidth="1"/>
    <col min="7" max="7" width="19.28515625" customWidth="1"/>
    <col min="8" max="8" width="15.7109375" customWidth="1"/>
    <col min="9" max="10" width="19.42578125" customWidth="1"/>
    <col min="11" max="11" width="18.42578125" customWidth="1"/>
    <col min="12" max="12" width="12.42578125" customWidth="1"/>
    <col min="13" max="13" width="16.28515625" customWidth="1"/>
    <col min="14" max="14" width="19.5703125" customWidth="1"/>
    <col min="15" max="15" width="17.7109375" customWidth="1"/>
    <col min="16" max="16" width="25" customWidth="1"/>
    <col min="17" max="17" width="21.5703125" customWidth="1"/>
    <col min="18" max="18" width="27.28515625" customWidth="1"/>
    <col min="19" max="19" width="30.7109375" customWidth="1"/>
    <col min="20" max="20" width="14.85546875" customWidth="1"/>
    <col min="21" max="21" width="16.28515625" customWidth="1"/>
    <col min="22" max="22" width="17" customWidth="1"/>
    <col min="23" max="23" width="23.42578125" customWidth="1"/>
    <col min="24" max="24" width="18.140625" customWidth="1"/>
    <col min="25" max="25" width="17.7109375" customWidth="1"/>
    <col min="26" max="27" width="22" customWidth="1"/>
    <col min="28" max="29" width="31" customWidth="1"/>
    <col min="30" max="30" width="30.42578125" customWidth="1"/>
    <col min="31" max="31" width="33.28515625" customWidth="1"/>
    <col min="32" max="32" width="27.28515625" customWidth="1"/>
    <col min="33" max="33" width="31" customWidth="1"/>
    <col min="34" max="34" width="14.140625" customWidth="1"/>
    <col min="35" max="35" width="16.85546875" customWidth="1"/>
    <col min="36" max="36" width="19.140625" customWidth="1"/>
    <col min="37" max="37" width="26.140625" customWidth="1"/>
    <col min="38" max="38" width="19" customWidth="1"/>
    <col min="39" max="39" width="16.28515625" customWidth="1"/>
    <col min="40" max="41" width="22.28515625" customWidth="1"/>
    <col min="42" max="42" width="31.7109375" customWidth="1"/>
    <col min="43" max="43" width="33" customWidth="1"/>
    <col min="44" max="44" width="30.85546875" customWidth="1"/>
    <col min="45" max="45" width="33.42578125" customWidth="1"/>
    <col min="46" max="46" width="25.85546875" customWidth="1"/>
    <col min="47" max="47" width="31.140625" customWidth="1"/>
    <col min="48" max="48" width="14.85546875" customWidth="1"/>
    <col min="49" max="49" width="16.7109375" customWidth="1"/>
    <col min="50" max="50" width="15.140625" customWidth="1"/>
    <col min="51" max="51" width="24" customWidth="1"/>
    <col min="52" max="52" width="17.85546875" customWidth="1"/>
    <col min="53" max="53" width="17.28515625" customWidth="1"/>
    <col min="54" max="55" width="23.5703125" customWidth="1"/>
    <col min="56" max="56" width="31.7109375" customWidth="1"/>
    <col min="57" max="57" width="33.5703125" customWidth="1"/>
    <col min="58" max="58" width="32.5703125" customWidth="1"/>
    <col min="59" max="59" width="33.85546875" customWidth="1"/>
    <col min="60" max="60" width="28.28515625" customWidth="1"/>
    <col min="61" max="61" width="28.5703125" customWidth="1"/>
    <col min="62" max="62" width="14.85546875" customWidth="1"/>
    <col min="63" max="63" width="17.7109375" customWidth="1"/>
    <col min="64" max="64" width="15" customWidth="1"/>
    <col min="65" max="65" width="25" customWidth="1"/>
    <col min="66" max="66" width="19.7109375" customWidth="1"/>
    <col min="67" max="67" width="19.42578125" customWidth="1"/>
    <col min="68" max="68" width="24.140625" customWidth="1"/>
    <col min="69" max="69" width="22" customWidth="1"/>
    <col min="70" max="70" width="32.7109375" customWidth="1"/>
    <col min="71" max="72" width="31.7109375" customWidth="1"/>
    <col min="73" max="73" width="34.28515625" customWidth="1"/>
    <col min="74" max="74" width="26" customWidth="1"/>
    <col min="75" max="75" width="28.42578125" customWidth="1"/>
    <col min="76" max="76" width="14.28515625" customWidth="1"/>
    <col min="77" max="77" width="16.28515625" customWidth="1"/>
    <col min="78" max="78" width="15.42578125" customWidth="1"/>
    <col min="79" max="79" width="25.7109375" customWidth="1"/>
    <col min="80" max="80" width="19.28515625" customWidth="1"/>
    <col min="81" max="81" width="17" customWidth="1"/>
    <col min="82" max="83" width="24.140625" customWidth="1"/>
    <col min="84" max="84" width="34" customWidth="1"/>
    <col min="85" max="85" width="32.42578125" customWidth="1"/>
    <col min="86" max="86" width="30.7109375" customWidth="1"/>
    <col min="87" max="87" width="35.140625" customWidth="1"/>
    <col min="88" max="88" width="25.28515625" customWidth="1"/>
    <col min="89" max="89" width="28.7109375" customWidth="1"/>
    <col min="90" max="90" width="15.7109375" customWidth="1"/>
    <col min="91" max="91" width="17.140625" customWidth="1"/>
    <col min="92" max="92" width="15.7109375" customWidth="1"/>
    <col min="93" max="93" width="24.5703125" customWidth="1"/>
    <col min="94" max="94" width="17.7109375" customWidth="1"/>
    <col min="95" max="95" width="15.7109375" customWidth="1"/>
    <col min="96" max="97" width="23.28515625" customWidth="1"/>
    <col min="98" max="98" width="31.28515625" customWidth="1"/>
    <col min="99" max="99" width="34.85546875" customWidth="1"/>
    <col min="100" max="100" width="32.42578125" customWidth="1"/>
    <col min="101" max="101" width="34.140625" customWidth="1"/>
    <col min="102" max="102" width="26.140625" customWidth="1"/>
    <col min="103" max="103" width="28.7109375" customWidth="1"/>
    <col min="104" max="104" width="17" customWidth="1"/>
    <col min="105" max="105" width="18.28515625" customWidth="1"/>
    <col min="106" max="106" width="15.28515625" customWidth="1"/>
    <col min="107" max="107" width="24" customWidth="1"/>
    <col min="108" max="108" width="20.42578125" customWidth="1"/>
    <col min="109" max="109" width="17.7109375" customWidth="1"/>
    <col min="110" max="110" width="23.85546875" customWidth="1"/>
    <col min="111" max="111" width="22.42578125" customWidth="1"/>
    <col min="112" max="112" width="32.140625" customWidth="1"/>
    <col min="113" max="113" width="34.42578125" customWidth="1"/>
    <col min="114" max="114" width="30.5703125" customWidth="1"/>
    <col min="115" max="115" width="34.5703125" customWidth="1"/>
    <col min="116" max="116" width="25.7109375" customWidth="1"/>
    <col min="117" max="117" width="28.5703125" customWidth="1"/>
    <col min="118" max="118" width="15.5703125" customWidth="1"/>
    <col min="119" max="119" width="17.28515625" customWidth="1"/>
    <col min="120" max="120" width="15" customWidth="1"/>
    <col min="121" max="121" width="25" customWidth="1"/>
    <col min="122" max="122" width="18.42578125" customWidth="1"/>
    <col min="123" max="123" width="17.7109375" customWidth="1"/>
    <col min="124" max="125" width="23.85546875" customWidth="1"/>
    <col min="126" max="126" width="32" customWidth="1"/>
    <col min="127" max="127" width="30.85546875" customWidth="1"/>
    <col min="128" max="128" width="30.7109375" customWidth="1"/>
    <col min="129" max="129" width="34.7109375" customWidth="1"/>
    <col min="130" max="130" width="27.7109375" customWidth="1"/>
    <col min="131" max="131" width="28.85546875" customWidth="1"/>
    <col min="132" max="132" width="17.140625" customWidth="1"/>
    <col min="133" max="133" width="16.140625" customWidth="1"/>
    <col min="134" max="134" width="18.28515625" customWidth="1"/>
    <col min="135" max="135" width="23.7109375" customWidth="1"/>
    <col min="136" max="136" width="21.5703125" customWidth="1"/>
    <col min="137" max="137" width="19.28515625" customWidth="1"/>
    <col min="138" max="139" width="23" customWidth="1"/>
    <col min="140" max="140" width="29.5703125" customWidth="1"/>
    <col min="141" max="141" width="32" customWidth="1"/>
    <col min="142" max="142" width="30.42578125" customWidth="1"/>
    <col min="143" max="143" width="32.140625" customWidth="1"/>
    <col min="144" max="144" width="26.140625" customWidth="1"/>
    <col min="145" max="145" width="29.5703125" customWidth="1"/>
    <col min="146" max="146" width="14.28515625" customWidth="1"/>
    <col min="147" max="147" width="15.5703125" customWidth="1"/>
    <col min="148" max="148" width="14.7109375" customWidth="1"/>
    <col min="149" max="149" width="22.7109375" customWidth="1"/>
    <col min="150" max="150" width="17.7109375" customWidth="1"/>
    <col min="151" max="151" width="17.140625" customWidth="1"/>
    <col min="152" max="153" width="22.85546875" customWidth="1"/>
    <col min="154" max="154" width="31.7109375" customWidth="1"/>
    <col min="155" max="155" width="29.7109375" customWidth="1"/>
    <col min="156" max="156" width="29" customWidth="1"/>
    <col min="157" max="157" width="32.7109375" customWidth="1"/>
    <col min="158" max="158" width="29" customWidth="1"/>
    <col min="159" max="159" width="28.140625" customWidth="1"/>
    <col min="160" max="160" width="14.28515625" customWidth="1"/>
    <col min="161" max="161" width="16.7109375" customWidth="1"/>
    <col min="162" max="162" width="14.7109375" customWidth="1"/>
    <col min="163" max="163" width="21.28515625" customWidth="1"/>
    <col min="164" max="164" width="16" customWidth="1"/>
    <col min="165" max="165" width="17" customWidth="1"/>
    <col min="167" max="167" width="14.7109375" customWidth="1"/>
    <col min="168" max="168" width="15.28515625" customWidth="1"/>
    <col min="169" max="169" width="13.28515625" customWidth="1"/>
    <col min="170" max="170" width="16" customWidth="1"/>
  </cols>
  <sheetData>
    <row r="1" spans="1:170">
      <c r="A1" t="s">
        <v>38</v>
      </c>
    </row>
    <row r="3" spans="1:170">
      <c r="A3" s="16" t="s">
        <v>44</v>
      </c>
      <c r="B3" s="16" t="s">
        <v>43</v>
      </c>
      <c r="C3" s="16" t="s">
        <v>15</v>
      </c>
      <c r="D3" s="16" t="s">
        <v>129</v>
      </c>
      <c r="E3" s="16" t="s">
        <v>45</v>
      </c>
      <c r="F3" s="16" t="s">
        <v>46</v>
      </c>
      <c r="G3" s="16" t="s">
        <v>7</v>
      </c>
      <c r="H3" s="16" t="s">
        <v>8</v>
      </c>
      <c r="I3" s="16" t="s">
        <v>5</v>
      </c>
      <c r="J3" s="16" t="s">
        <v>6</v>
      </c>
      <c r="K3" s="16" t="s">
        <v>4</v>
      </c>
      <c r="L3" s="16" t="s">
        <v>3</v>
      </c>
      <c r="M3" s="16" t="s">
        <v>48</v>
      </c>
      <c r="N3" s="16" t="s">
        <v>9</v>
      </c>
      <c r="O3" s="16" t="s">
        <v>50</v>
      </c>
      <c r="P3" s="16" t="s">
        <v>49</v>
      </c>
      <c r="Q3" s="16" t="s">
        <v>51</v>
      </c>
      <c r="R3" s="16" t="s">
        <v>52</v>
      </c>
      <c r="S3" s="16" t="s">
        <v>53</v>
      </c>
      <c r="T3" s="27" t="s">
        <v>1</v>
      </c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9"/>
      <c r="AH3" s="27" t="s">
        <v>2</v>
      </c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9"/>
      <c r="AV3" s="27" t="s">
        <v>10</v>
      </c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9"/>
      <c r="BJ3" s="27" t="s">
        <v>54</v>
      </c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9"/>
      <c r="BX3" s="27" t="s">
        <v>55</v>
      </c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9"/>
      <c r="CL3" s="27" t="s">
        <v>56</v>
      </c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9"/>
      <c r="CZ3" s="27" t="s">
        <v>57</v>
      </c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9"/>
      <c r="DN3" s="27" t="s">
        <v>58</v>
      </c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9"/>
      <c r="EB3" s="27" t="s">
        <v>59</v>
      </c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9"/>
      <c r="EP3" s="27" t="s">
        <v>60</v>
      </c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9"/>
      <c r="FD3" s="30" t="s">
        <v>61</v>
      </c>
      <c r="FE3" s="31"/>
      <c r="FF3" s="31"/>
      <c r="FG3" s="31"/>
      <c r="FH3" s="31"/>
      <c r="FI3" s="31"/>
      <c r="FJ3" s="31"/>
      <c r="FK3" s="31"/>
      <c r="FL3" s="31"/>
      <c r="FM3" s="31"/>
      <c r="FN3" s="31"/>
    </row>
    <row r="4" spans="1:1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 t="s">
        <v>40</v>
      </c>
      <c r="U4" s="1" t="s">
        <v>41</v>
      </c>
      <c r="V4" s="1" t="s">
        <v>75</v>
      </c>
      <c r="W4" s="1" t="s">
        <v>71</v>
      </c>
      <c r="X4" s="1" t="s">
        <v>72</v>
      </c>
      <c r="Y4" s="1" t="s">
        <v>74</v>
      </c>
      <c r="Z4" s="1" t="s">
        <v>73</v>
      </c>
      <c r="AA4" s="1" t="s">
        <v>79</v>
      </c>
      <c r="AB4" s="1" t="s">
        <v>76</v>
      </c>
      <c r="AC4" s="1" t="s">
        <v>77</v>
      </c>
      <c r="AD4" s="1" t="s">
        <v>80</v>
      </c>
      <c r="AE4" s="1" t="s">
        <v>81</v>
      </c>
      <c r="AF4" s="1" t="s">
        <v>78</v>
      </c>
      <c r="AG4" s="5" t="s">
        <v>39</v>
      </c>
      <c r="AH4" s="4" t="s">
        <v>40</v>
      </c>
      <c r="AI4" s="1" t="s">
        <v>41</v>
      </c>
      <c r="AJ4" s="1" t="s">
        <v>75</v>
      </c>
      <c r="AK4" s="1" t="s">
        <v>71</v>
      </c>
      <c r="AL4" s="1" t="s">
        <v>72</v>
      </c>
      <c r="AM4" s="1" t="s">
        <v>74</v>
      </c>
      <c r="AN4" s="1" t="s">
        <v>73</v>
      </c>
      <c r="AO4" s="1" t="s">
        <v>79</v>
      </c>
      <c r="AP4" s="1" t="s">
        <v>76</v>
      </c>
      <c r="AQ4" s="1" t="s">
        <v>77</v>
      </c>
      <c r="AR4" s="1" t="s">
        <v>80</v>
      </c>
      <c r="AS4" s="1" t="s">
        <v>81</v>
      </c>
      <c r="AT4" s="1" t="s">
        <v>78</v>
      </c>
      <c r="AU4" s="5" t="s">
        <v>39</v>
      </c>
      <c r="AV4" s="4" t="s">
        <v>40</v>
      </c>
      <c r="AW4" s="1" t="s">
        <v>41</v>
      </c>
      <c r="AX4" s="1" t="s">
        <v>42</v>
      </c>
      <c r="AY4" s="1" t="s">
        <v>71</v>
      </c>
      <c r="AZ4" s="1" t="s">
        <v>72</v>
      </c>
      <c r="BA4" s="1" t="s">
        <v>74</v>
      </c>
      <c r="BB4" s="1" t="s">
        <v>73</v>
      </c>
      <c r="BC4" s="1" t="s">
        <v>79</v>
      </c>
      <c r="BD4" s="1" t="s">
        <v>76</v>
      </c>
      <c r="BE4" s="1" t="s">
        <v>77</v>
      </c>
      <c r="BF4" s="1" t="s">
        <v>80</v>
      </c>
      <c r="BG4" s="1" t="s">
        <v>81</v>
      </c>
      <c r="BH4" s="1" t="s">
        <v>78</v>
      </c>
      <c r="BI4" s="5" t="s">
        <v>39</v>
      </c>
      <c r="BJ4" s="4" t="s">
        <v>40</v>
      </c>
      <c r="BK4" s="1" t="s">
        <v>41</v>
      </c>
      <c r="BL4" s="1" t="s">
        <v>42</v>
      </c>
      <c r="BM4" s="1" t="s">
        <v>71</v>
      </c>
      <c r="BN4" s="1" t="s">
        <v>72</v>
      </c>
      <c r="BO4" s="1" t="s">
        <v>74</v>
      </c>
      <c r="BP4" s="1" t="s">
        <v>73</v>
      </c>
      <c r="BQ4" s="1" t="s">
        <v>79</v>
      </c>
      <c r="BR4" s="1" t="s">
        <v>76</v>
      </c>
      <c r="BS4" s="1" t="s">
        <v>77</v>
      </c>
      <c r="BT4" s="1" t="s">
        <v>80</v>
      </c>
      <c r="BU4" s="1" t="s">
        <v>81</v>
      </c>
      <c r="BV4" s="1" t="s">
        <v>78</v>
      </c>
      <c r="BW4" s="5" t="s">
        <v>39</v>
      </c>
      <c r="BX4" s="4" t="s">
        <v>40</v>
      </c>
      <c r="BY4" s="1" t="s">
        <v>41</v>
      </c>
      <c r="BZ4" s="1" t="s">
        <v>42</v>
      </c>
      <c r="CA4" s="1" t="s">
        <v>71</v>
      </c>
      <c r="CB4" s="1" t="s">
        <v>72</v>
      </c>
      <c r="CC4" s="1" t="s">
        <v>74</v>
      </c>
      <c r="CD4" s="1" t="s">
        <v>73</v>
      </c>
      <c r="CE4" s="1" t="s">
        <v>79</v>
      </c>
      <c r="CF4" s="1" t="s">
        <v>76</v>
      </c>
      <c r="CG4" s="1" t="s">
        <v>77</v>
      </c>
      <c r="CH4" s="1" t="s">
        <v>80</v>
      </c>
      <c r="CI4" s="1" t="s">
        <v>81</v>
      </c>
      <c r="CJ4" s="1" t="s">
        <v>78</v>
      </c>
      <c r="CK4" s="5" t="s">
        <v>39</v>
      </c>
      <c r="CL4" s="4" t="s">
        <v>40</v>
      </c>
      <c r="CM4" s="1" t="s">
        <v>41</v>
      </c>
      <c r="CN4" s="1" t="s">
        <v>42</v>
      </c>
      <c r="CO4" s="1" t="s">
        <v>71</v>
      </c>
      <c r="CP4" s="1" t="s">
        <v>72</v>
      </c>
      <c r="CQ4" s="1" t="s">
        <v>74</v>
      </c>
      <c r="CR4" s="1" t="s">
        <v>73</v>
      </c>
      <c r="CS4" s="1" t="s">
        <v>79</v>
      </c>
      <c r="CT4" s="1" t="s">
        <v>76</v>
      </c>
      <c r="CU4" s="1" t="s">
        <v>77</v>
      </c>
      <c r="CV4" s="1" t="s">
        <v>80</v>
      </c>
      <c r="CW4" s="1" t="s">
        <v>81</v>
      </c>
      <c r="CX4" s="1" t="s">
        <v>78</v>
      </c>
      <c r="CY4" s="5" t="s">
        <v>39</v>
      </c>
      <c r="CZ4" s="4" t="s">
        <v>40</v>
      </c>
      <c r="DA4" s="1" t="s">
        <v>41</v>
      </c>
      <c r="DB4" s="1" t="s">
        <v>42</v>
      </c>
      <c r="DC4" s="1" t="s">
        <v>71</v>
      </c>
      <c r="DD4" s="1" t="s">
        <v>72</v>
      </c>
      <c r="DE4" s="1" t="s">
        <v>74</v>
      </c>
      <c r="DF4" s="1" t="s">
        <v>73</v>
      </c>
      <c r="DG4" s="1" t="s">
        <v>79</v>
      </c>
      <c r="DH4" s="1" t="s">
        <v>76</v>
      </c>
      <c r="DI4" s="1" t="s">
        <v>77</v>
      </c>
      <c r="DJ4" s="1" t="s">
        <v>80</v>
      </c>
      <c r="DK4" s="1" t="s">
        <v>81</v>
      </c>
      <c r="DL4" s="1" t="s">
        <v>78</v>
      </c>
      <c r="DM4" s="5" t="s">
        <v>39</v>
      </c>
      <c r="DN4" s="4" t="s">
        <v>40</v>
      </c>
      <c r="DO4" s="1" t="s">
        <v>41</v>
      </c>
      <c r="DP4" s="1" t="s">
        <v>42</v>
      </c>
      <c r="DQ4" s="1" t="s">
        <v>71</v>
      </c>
      <c r="DR4" s="1" t="s">
        <v>72</v>
      </c>
      <c r="DS4" s="1" t="s">
        <v>74</v>
      </c>
      <c r="DT4" s="1" t="s">
        <v>73</v>
      </c>
      <c r="DU4" s="1" t="s">
        <v>79</v>
      </c>
      <c r="DV4" s="1" t="s">
        <v>76</v>
      </c>
      <c r="DW4" s="1" t="s">
        <v>77</v>
      </c>
      <c r="DX4" s="1" t="s">
        <v>80</v>
      </c>
      <c r="DY4" s="1" t="s">
        <v>81</v>
      </c>
      <c r="DZ4" s="1" t="s">
        <v>78</v>
      </c>
      <c r="EA4" s="5" t="s">
        <v>39</v>
      </c>
      <c r="EB4" s="4" t="s">
        <v>40</v>
      </c>
      <c r="EC4" s="1" t="s">
        <v>41</v>
      </c>
      <c r="ED4" s="1" t="s">
        <v>42</v>
      </c>
      <c r="EE4" s="1" t="s">
        <v>71</v>
      </c>
      <c r="EF4" s="1" t="s">
        <v>72</v>
      </c>
      <c r="EG4" s="1" t="s">
        <v>74</v>
      </c>
      <c r="EH4" s="1" t="s">
        <v>73</v>
      </c>
      <c r="EI4" s="1" t="s">
        <v>79</v>
      </c>
      <c r="EJ4" s="1" t="s">
        <v>76</v>
      </c>
      <c r="EK4" s="1" t="s">
        <v>77</v>
      </c>
      <c r="EL4" s="1" t="s">
        <v>80</v>
      </c>
      <c r="EM4" s="1" t="s">
        <v>81</v>
      </c>
      <c r="EN4" s="1" t="s">
        <v>78</v>
      </c>
      <c r="EO4" s="5" t="s">
        <v>39</v>
      </c>
      <c r="EP4" s="4" t="s">
        <v>40</v>
      </c>
      <c r="EQ4" s="1" t="s">
        <v>41</v>
      </c>
      <c r="ER4" s="1" t="s">
        <v>42</v>
      </c>
      <c r="ES4" s="1" t="s">
        <v>71</v>
      </c>
      <c r="ET4" s="1" t="s">
        <v>72</v>
      </c>
      <c r="EU4" s="1" t="s">
        <v>74</v>
      </c>
      <c r="EV4" s="1" t="s">
        <v>73</v>
      </c>
      <c r="EW4" s="1" t="s">
        <v>79</v>
      </c>
      <c r="EX4" s="1" t="s">
        <v>76</v>
      </c>
      <c r="EY4" s="1" t="s">
        <v>77</v>
      </c>
      <c r="EZ4" s="1" t="s">
        <v>80</v>
      </c>
      <c r="FA4" s="1" t="s">
        <v>81</v>
      </c>
      <c r="FB4" s="1" t="s">
        <v>78</v>
      </c>
      <c r="FC4" s="5" t="s">
        <v>39</v>
      </c>
      <c r="FD4" s="22" t="s">
        <v>40</v>
      </c>
      <c r="FE4" s="22" t="s">
        <v>41</v>
      </c>
      <c r="FF4" s="22" t="s">
        <v>42</v>
      </c>
      <c r="FG4" s="22" t="s">
        <v>39</v>
      </c>
      <c r="FH4" s="22" t="s">
        <v>94</v>
      </c>
      <c r="FI4" s="22" t="s">
        <v>95</v>
      </c>
      <c r="FJ4" s="22" t="s">
        <v>85</v>
      </c>
      <c r="FK4" s="22" t="s">
        <v>96</v>
      </c>
      <c r="FL4" s="22" t="s">
        <v>87</v>
      </c>
      <c r="FM4" s="22" t="s">
        <v>88</v>
      </c>
      <c r="FN4" s="22" t="s">
        <v>89</v>
      </c>
    </row>
    <row r="5" spans="1:170">
      <c r="A5" s="3" t="s">
        <v>0</v>
      </c>
      <c r="B5" s="2" t="s">
        <v>16</v>
      </c>
      <c r="C5" s="3" t="s">
        <v>11</v>
      </c>
      <c r="D5" s="3" t="s">
        <v>69</v>
      </c>
      <c r="E5" s="2">
        <v>17</v>
      </c>
      <c r="F5" s="3" t="s">
        <v>13</v>
      </c>
      <c r="G5" s="2">
        <v>2360</v>
      </c>
      <c r="H5" s="2">
        <v>240.47200000000001</v>
      </c>
      <c r="I5" s="2">
        <v>3551</v>
      </c>
      <c r="J5" s="2">
        <v>1772</v>
      </c>
      <c r="K5" s="2">
        <v>8737</v>
      </c>
      <c r="L5" s="2">
        <v>1603006</v>
      </c>
      <c r="M5" s="2">
        <v>1877</v>
      </c>
      <c r="N5" s="2">
        <v>88</v>
      </c>
      <c r="O5" s="2">
        <v>49</v>
      </c>
      <c r="P5" s="2">
        <v>4404</v>
      </c>
      <c r="Q5" s="2">
        <v>161</v>
      </c>
      <c r="R5" s="2">
        <v>29</v>
      </c>
      <c r="S5" s="2">
        <v>12500</v>
      </c>
      <c r="T5" s="6">
        <v>2124</v>
      </c>
      <c r="U5" s="2">
        <v>909</v>
      </c>
      <c r="V5" s="2">
        <f t="shared" ref="V5:V11" si="0">T5-U5</f>
        <v>1215</v>
      </c>
      <c r="W5" s="2">
        <v>880</v>
      </c>
      <c r="X5" s="2">
        <v>246</v>
      </c>
      <c r="Y5" s="2">
        <v>1575</v>
      </c>
      <c r="Z5" s="1">
        <f t="shared" ref="Z5:Z11" si="1">Y5-U5</f>
        <v>666</v>
      </c>
      <c r="AA5" s="2">
        <v>400</v>
      </c>
      <c r="AB5" s="2">
        <v>16</v>
      </c>
      <c r="AC5" s="2">
        <v>19</v>
      </c>
      <c r="AD5" s="2">
        <v>92</v>
      </c>
      <c r="AE5" s="2">
        <v>46</v>
      </c>
      <c r="AF5" s="1">
        <f t="shared" ref="AF5:AF11" si="2">AD5-AE5</f>
        <v>46</v>
      </c>
      <c r="AG5" s="7" t="s">
        <v>70</v>
      </c>
      <c r="AH5" s="6">
        <v>1555</v>
      </c>
      <c r="AI5" s="2">
        <v>412</v>
      </c>
      <c r="AJ5" s="2">
        <f>AH5-AI5</f>
        <v>1143</v>
      </c>
      <c r="AK5" s="2">
        <v>879</v>
      </c>
      <c r="AL5" s="2">
        <v>245</v>
      </c>
      <c r="AM5" s="2">
        <v>916</v>
      </c>
      <c r="AN5" s="1">
        <f t="shared" ref="AN5:AN10" si="3">AM5-AI5</f>
        <v>504</v>
      </c>
      <c r="AO5" s="2">
        <v>517</v>
      </c>
      <c r="AP5" s="2">
        <v>17</v>
      </c>
      <c r="AQ5" s="2">
        <v>19</v>
      </c>
      <c r="AR5" s="2">
        <v>68</v>
      </c>
      <c r="AS5" s="2">
        <v>30</v>
      </c>
      <c r="AT5" s="1">
        <f t="shared" ref="AT5:AT11" si="4">AR5-AS5</f>
        <v>38</v>
      </c>
      <c r="AU5" s="7" t="s">
        <v>70</v>
      </c>
      <c r="AV5" s="6">
        <v>1897</v>
      </c>
      <c r="AW5" s="2">
        <v>762</v>
      </c>
      <c r="AX5" s="2">
        <f>AV5-AW5</f>
        <v>1135</v>
      </c>
      <c r="AY5" s="2">
        <v>887</v>
      </c>
      <c r="AZ5" s="2">
        <v>234</v>
      </c>
      <c r="BA5" s="2">
        <v>1262</v>
      </c>
      <c r="BB5" s="2">
        <f t="shared" ref="BB5:BB11" si="5">BA5-AW5</f>
        <v>500</v>
      </c>
      <c r="BC5" s="2">
        <v>512</v>
      </c>
      <c r="BD5" s="2">
        <v>19</v>
      </c>
      <c r="BE5" s="2">
        <v>17</v>
      </c>
      <c r="BF5" s="2">
        <v>66</v>
      </c>
      <c r="BG5" s="2">
        <v>30</v>
      </c>
      <c r="BH5" s="1">
        <f t="shared" ref="BH5:BH11" si="6">BF5-BG5</f>
        <v>36</v>
      </c>
      <c r="BI5" s="7" t="s">
        <v>70</v>
      </c>
      <c r="BJ5" s="6">
        <v>2288</v>
      </c>
      <c r="BK5" s="2">
        <v>878</v>
      </c>
      <c r="BL5" s="2">
        <f>BJ5-BK5</f>
        <v>1410</v>
      </c>
      <c r="BM5" s="2">
        <v>748</v>
      </c>
      <c r="BN5" s="2">
        <v>239</v>
      </c>
      <c r="BO5" s="2">
        <v>1656</v>
      </c>
      <c r="BP5" s="1">
        <f t="shared" ref="BP5:BP11" si="7">BO5-BK5</f>
        <v>778</v>
      </c>
      <c r="BQ5" s="2">
        <v>508</v>
      </c>
      <c r="BR5" s="2">
        <v>16</v>
      </c>
      <c r="BS5" s="2">
        <v>22</v>
      </c>
      <c r="BT5" s="2">
        <v>69</v>
      </c>
      <c r="BU5" s="2">
        <v>40</v>
      </c>
      <c r="BV5" s="1">
        <f t="shared" ref="BV5:BV11" si="8">BT5-BU5</f>
        <v>29</v>
      </c>
      <c r="BW5" s="7" t="s">
        <v>70</v>
      </c>
      <c r="BX5" s="6">
        <v>2144</v>
      </c>
      <c r="BY5" s="2">
        <v>862</v>
      </c>
      <c r="BZ5" s="2">
        <f>BX5-BY5</f>
        <v>1282</v>
      </c>
      <c r="CA5" s="2">
        <v>890</v>
      </c>
      <c r="CB5" s="2">
        <v>241</v>
      </c>
      <c r="CC5" s="2">
        <v>1481</v>
      </c>
      <c r="CD5" s="1">
        <f t="shared" ref="CD5:CD11" si="9">CC5-BY5</f>
        <v>619</v>
      </c>
      <c r="CE5" s="2">
        <v>516</v>
      </c>
      <c r="CF5" s="2">
        <v>21</v>
      </c>
      <c r="CG5" s="2">
        <v>17</v>
      </c>
      <c r="CH5" s="2">
        <v>89</v>
      </c>
      <c r="CI5" s="2">
        <v>42</v>
      </c>
      <c r="CJ5" s="1">
        <f t="shared" ref="CJ5:CJ11" si="10">CH5-CI5</f>
        <v>47</v>
      </c>
      <c r="CK5" s="7" t="s">
        <v>70</v>
      </c>
      <c r="CL5" s="6">
        <v>1577</v>
      </c>
      <c r="CM5" s="2">
        <v>407</v>
      </c>
      <c r="CN5" s="2">
        <f>CL5-CM5</f>
        <v>1170</v>
      </c>
      <c r="CO5" s="2">
        <v>869</v>
      </c>
      <c r="CP5" s="2">
        <v>221</v>
      </c>
      <c r="CQ5" s="2">
        <v>909</v>
      </c>
      <c r="CR5" s="1">
        <f t="shared" ref="CR5:CR11" si="11">CQ5-CM5</f>
        <v>502</v>
      </c>
      <c r="CS5" s="2">
        <v>515</v>
      </c>
      <c r="CT5" s="2">
        <v>18</v>
      </c>
      <c r="CU5" s="2">
        <v>21</v>
      </c>
      <c r="CV5" s="2">
        <v>94</v>
      </c>
      <c r="CW5" s="2">
        <v>47</v>
      </c>
      <c r="CX5" s="1">
        <f t="shared" ref="CX5:CX11" si="12">CV5-CW5</f>
        <v>47</v>
      </c>
      <c r="CY5" s="7" t="s">
        <v>70</v>
      </c>
      <c r="CZ5" s="6">
        <v>1600</v>
      </c>
      <c r="DA5" s="2">
        <v>409</v>
      </c>
      <c r="DB5" s="2">
        <f>CZ5-DA5</f>
        <v>1191</v>
      </c>
      <c r="DC5" s="2">
        <v>876</v>
      </c>
      <c r="DD5" s="2">
        <v>243</v>
      </c>
      <c r="DE5" s="2">
        <v>923</v>
      </c>
      <c r="DF5" s="1">
        <f t="shared" ref="DF5:DF11" si="13">DE5-DA5</f>
        <v>514</v>
      </c>
      <c r="DG5" s="2">
        <v>530</v>
      </c>
      <c r="DH5" s="2">
        <v>22</v>
      </c>
      <c r="DI5" s="2">
        <v>23</v>
      </c>
      <c r="DJ5" s="2">
        <v>85</v>
      </c>
      <c r="DK5" s="2">
        <v>44</v>
      </c>
      <c r="DL5" s="1">
        <f t="shared" ref="DL5:DL11" si="14">DJ5-DK5</f>
        <v>41</v>
      </c>
      <c r="DM5" s="7" t="s">
        <v>70</v>
      </c>
      <c r="DN5" s="6">
        <v>1583</v>
      </c>
      <c r="DO5" s="2">
        <v>407</v>
      </c>
      <c r="DP5" s="2">
        <f>DN5-DO5</f>
        <v>1176</v>
      </c>
      <c r="DQ5" s="2">
        <v>871</v>
      </c>
      <c r="DR5" s="2">
        <v>247</v>
      </c>
      <c r="DS5" s="2">
        <v>908</v>
      </c>
      <c r="DT5" s="1">
        <f t="shared" ref="DT5:DT11" si="15">DS5-DO5</f>
        <v>501</v>
      </c>
      <c r="DU5" s="2">
        <v>525</v>
      </c>
      <c r="DV5" s="2">
        <v>19</v>
      </c>
      <c r="DW5" s="2">
        <v>21</v>
      </c>
      <c r="DX5" s="2">
        <v>86</v>
      </c>
      <c r="DY5" s="2">
        <v>51</v>
      </c>
      <c r="DZ5" s="1">
        <f t="shared" ref="DZ5:DZ11" si="16">DX5-DY5</f>
        <v>35</v>
      </c>
      <c r="EA5" s="7" t="s">
        <v>70</v>
      </c>
      <c r="EB5" s="6">
        <v>1561</v>
      </c>
      <c r="EC5" s="2">
        <v>409</v>
      </c>
      <c r="ED5" s="2">
        <f>EB5-EC5</f>
        <v>1152</v>
      </c>
      <c r="EE5" s="2">
        <v>902</v>
      </c>
      <c r="EF5" s="2">
        <v>217</v>
      </c>
      <c r="EG5" s="2">
        <v>927</v>
      </c>
      <c r="EH5" s="1">
        <f t="shared" ref="EH5:EH11" si="17">EG5-EC5</f>
        <v>518</v>
      </c>
      <c r="EI5" s="2">
        <v>518</v>
      </c>
      <c r="EJ5" s="2">
        <v>14</v>
      </c>
      <c r="EK5" s="2">
        <v>16</v>
      </c>
      <c r="EL5" s="2">
        <v>67</v>
      </c>
      <c r="EM5" s="2">
        <v>31</v>
      </c>
      <c r="EN5" s="1">
        <f t="shared" ref="EN5:EN11" si="18">EL5-EM5</f>
        <v>36</v>
      </c>
      <c r="EO5" s="7" t="s">
        <v>70</v>
      </c>
      <c r="EP5" s="6">
        <v>1567</v>
      </c>
      <c r="EQ5" s="2">
        <v>411</v>
      </c>
      <c r="ER5" s="2">
        <f>EP5-EQ5</f>
        <v>1156</v>
      </c>
      <c r="ES5" s="2">
        <v>836</v>
      </c>
      <c r="ET5" s="2">
        <v>226</v>
      </c>
      <c r="EU5" s="2">
        <v>925</v>
      </c>
      <c r="EV5" s="1">
        <f t="shared" ref="EV5:EV11" si="19">EU5-EQ5</f>
        <v>514</v>
      </c>
      <c r="EW5" s="2">
        <v>516</v>
      </c>
      <c r="EX5" s="2">
        <v>13</v>
      </c>
      <c r="EY5" s="2">
        <v>17</v>
      </c>
      <c r="EZ5" s="2">
        <v>74</v>
      </c>
      <c r="FA5" s="2">
        <v>35</v>
      </c>
      <c r="FB5" s="1">
        <f t="shared" ref="FB5:FB11" si="20">EZ5-FA5</f>
        <v>39</v>
      </c>
      <c r="FC5" s="7" t="s">
        <v>70</v>
      </c>
      <c r="FD5" s="22">
        <f t="shared" ref="FD5:FD9" si="21">AVERAGE(T5,AH5,AV5,BJ5,BX5,CL5,CZ5,DN5,EB5,EP5)</f>
        <v>1789.6</v>
      </c>
      <c r="FE5" s="22">
        <f>AVERAGE(U5,AI5,AW5,BK5,BY5,CM5,DA5,DO5,EC5,EQ5)</f>
        <v>586.6</v>
      </c>
      <c r="FF5" s="22">
        <f t="shared" ref="FF5:FF9" si="22">AVERAGE(V5,AJ5,AX5,BL5,BZ5,CN5,DB5,DP5,ED5,ER5)</f>
        <v>1203</v>
      </c>
      <c r="FG5" s="22" t="str">
        <f>IF(AND(FC5=EO5,FC5=EA5,FC5=DM5,FC5=CY5,FC5=CK5,FC5=BW5,FC5=BI5,FC5=AU5,FC5=AG5),"equal","no equal")</f>
        <v>equal</v>
      </c>
      <c r="FH5" s="22">
        <f>AVERAGE(Z5,AN5,BB5,BP5,CD5,CR5,DF5,DT5,EH5,EV5)</f>
        <v>561.6</v>
      </c>
      <c r="FI5" s="22">
        <f>AVERAGE(W5,AK5,AY5,BM5,CA5,CO5,DC5,DQ5,EE5,ES5)</f>
        <v>863.8</v>
      </c>
      <c r="FJ5" s="22">
        <f>AVERAGE(AA5,AO5,BC5,BQ5,CE5,CS5,DG5,DU5,EI5,EW5)</f>
        <v>505.7</v>
      </c>
      <c r="FK5" s="22">
        <f>AVERAGE(X5,AL5,AZ5,BN5,CB5,CP5,DD5,DR5,EF5,ET5)</f>
        <v>235.9</v>
      </c>
      <c r="FL5" s="22">
        <f>AVERAGE(AD5,AR5,BF5,BT5,CH5,CV5,DJ5,DX5,EL5,EZ5)</f>
        <v>79</v>
      </c>
      <c r="FM5" s="22">
        <f>AVERAGE(AC5,AQ5,BE5,BS5,CG5,CU5,DI5,DW5,EK5,EY5)</f>
        <v>19.2</v>
      </c>
      <c r="FN5" s="22">
        <f>AVERAGE(AB5,AP5,BD5,BR5,CF5,CT5,DH5,DV5,EJ5,EX5)</f>
        <v>17.5</v>
      </c>
    </row>
    <row r="6" spans="1:170">
      <c r="A6" s="8" t="s">
        <v>19</v>
      </c>
      <c r="B6" s="9" t="s">
        <v>17</v>
      </c>
      <c r="C6" s="8" t="s">
        <v>12</v>
      </c>
      <c r="D6" s="8" t="s">
        <v>68</v>
      </c>
      <c r="E6" s="9">
        <v>21</v>
      </c>
      <c r="F6" s="8" t="s">
        <v>14</v>
      </c>
      <c r="G6" s="9">
        <v>248</v>
      </c>
      <c r="H6" s="9">
        <v>10.6</v>
      </c>
      <c r="I6" s="9">
        <v>2807</v>
      </c>
      <c r="J6" s="9">
        <v>239</v>
      </c>
      <c r="K6" s="9">
        <v>7139</v>
      </c>
      <c r="L6" s="9">
        <v>129770</v>
      </c>
      <c r="M6" s="9">
        <v>295</v>
      </c>
      <c r="N6" s="9">
        <v>44</v>
      </c>
      <c r="O6" s="9">
        <v>28</v>
      </c>
      <c r="P6" s="9">
        <v>1128</v>
      </c>
      <c r="Q6" s="9">
        <v>18</v>
      </c>
      <c r="R6" s="9">
        <v>13</v>
      </c>
      <c r="S6" s="9">
        <v>1183</v>
      </c>
      <c r="T6" s="10">
        <v>887</v>
      </c>
      <c r="U6" s="9">
        <v>179</v>
      </c>
      <c r="V6" s="9">
        <f t="shared" si="0"/>
        <v>708</v>
      </c>
      <c r="W6" s="9">
        <v>302</v>
      </c>
      <c r="X6" s="9">
        <v>291</v>
      </c>
      <c r="Y6" s="9">
        <v>350</v>
      </c>
      <c r="Z6" s="9">
        <f t="shared" si="1"/>
        <v>171</v>
      </c>
      <c r="AA6" s="9">
        <v>382</v>
      </c>
      <c r="AB6" s="9">
        <v>16</v>
      </c>
      <c r="AC6" s="9">
        <v>21</v>
      </c>
      <c r="AD6" s="9">
        <v>97</v>
      </c>
      <c r="AE6" s="9">
        <v>54</v>
      </c>
      <c r="AF6" s="9">
        <f t="shared" si="2"/>
        <v>43</v>
      </c>
      <c r="AG6" s="11" t="s">
        <v>34</v>
      </c>
      <c r="AH6" s="10">
        <v>878</v>
      </c>
      <c r="AI6" s="9">
        <v>163</v>
      </c>
      <c r="AJ6" s="9">
        <f>AH6-AI6</f>
        <v>715</v>
      </c>
      <c r="AK6" s="9">
        <v>312</v>
      </c>
      <c r="AL6" s="9">
        <v>322</v>
      </c>
      <c r="AM6" s="9">
        <v>332</v>
      </c>
      <c r="AN6" s="9">
        <f t="shared" si="3"/>
        <v>169</v>
      </c>
      <c r="AO6" s="9">
        <v>428</v>
      </c>
      <c r="AP6" s="9">
        <v>14</v>
      </c>
      <c r="AQ6" s="9">
        <v>15</v>
      </c>
      <c r="AR6" s="9">
        <v>68</v>
      </c>
      <c r="AS6" s="9">
        <v>33</v>
      </c>
      <c r="AT6" s="9">
        <f t="shared" si="4"/>
        <v>35</v>
      </c>
      <c r="AU6" s="11" t="s">
        <v>34</v>
      </c>
      <c r="AV6" s="10">
        <v>840</v>
      </c>
      <c r="AW6" s="9">
        <v>162</v>
      </c>
      <c r="AX6" s="13">
        <f t="shared" ref="AX6:AX11" si="23">AV6-AW6</f>
        <v>678</v>
      </c>
      <c r="AY6" s="9">
        <v>290</v>
      </c>
      <c r="AZ6" s="9">
        <v>274</v>
      </c>
      <c r="BA6" s="9">
        <v>336</v>
      </c>
      <c r="BB6" s="9">
        <f t="shared" si="5"/>
        <v>174</v>
      </c>
      <c r="BC6" s="9">
        <v>383</v>
      </c>
      <c r="BD6" s="9">
        <v>18</v>
      </c>
      <c r="BE6" s="9">
        <v>21</v>
      </c>
      <c r="BF6" s="9">
        <v>71</v>
      </c>
      <c r="BG6" s="9">
        <v>34</v>
      </c>
      <c r="BH6" s="9">
        <f t="shared" si="6"/>
        <v>37</v>
      </c>
      <c r="BI6" s="11" t="s">
        <v>34</v>
      </c>
      <c r="BJ6" s="10">
        <v>926</v>
      </c>
      <c r="BK6" s="9">
        <v>165</v>
      </c>
      <c r="BL6" s="9">
        <f t="shared" ref="BL6:BL11" si="24">BJ6-BK6</f>
        <v>761</v>
      </c>
      <c r="BM6" s="9">
        <v>280</v>
      </c>
      <c r="BN6" s="9">
        <v>268</v>
      </c>
      <c r="BO6" s="9">
        <v>332</v>
      </c>
      <c r="BP6" s="9">
        <f t="shared" si="7"/>
        <v>167</v>
      </c>
      <c r="BQ6" s="9">
        <v>434</v>
      </c>
      <c r="BR6" s="9">
        <v>28</v>
      </c>
      <c r="BS6" s="9">
        <v>21</v>
      </c>
      <c r="BT6" s="9">
        <v>88</v>
      </c>
      <c r="BU6" s="9">
        <v>48</v>
      </c>
      <c r="BV6" s="9">
        <f t="shared" si="8"/>
        <v>40</v>
      </c>
      <c r="BW6" s="11" t="s">
        <v>34</v>
      </c>
      <c r="BX6" s="10">
        <v>875</v>
      </c>
      <c r="BY6" s="9">
        <v>162</v>
      </c>
      <c r="BZ6" s="9">
        <f t="shared" ref="BZ6:BZ11" si="25">BX6-BY6</f>
        <v>713</v>
      </c>
      <c r="CA6" s="9">
        <v>321</v>
      </c>
      <c r="CB6" s="9">
        <v>275</v>
      </c>
      <c r="CC6" s="9">
        <v>332</v>
      </c>
      <c r="CD6" s="9">
        <f t="shared" si="9"/>
        <v>170</v>
      </c>
      <c r="CE6" s="9">
        <v>397</v>
      </c>
      <c r="CF6" s="9">
        <v>19</v>
      </c>
      <c r="CG6" s="9">
        <v>20</v>
      </c>
      <c r="CH6" s="9">
        <v>88</v>
      </c>
      <c r="CI6" s="9">
        <v>37</v>
      </c>
      <c r="CJ6" s="9">
        <f t="shared" si="10"/>
        <v>51</v>
      </c>
      <c r="CK6" s="11" t="s">
        <v>34</v>
      </c>
      <c r="CL6" s="10">
        <v>897</v>
      </c>
      <c r="CM6" s="9">
        <v>162</v>
      </c>
      <c r="CN6" s="9">
        <f t="shared" ref="CN6:CN11" si="26">CL6-CM6</f>
        <v>735</v>
      </c>
      <c r="CO6" s="9">
        <v>278</v>
      </c>
      <c r="CP6" s="9">
        <v>288</v>
      </c>
      <c r="CQ6" s="9">
        <v>334</v>
      </c>
      <c r="CR6" s="9">
        <f t="shared" si="11"/>
        <v>172</v>
      </c>
      <c r="CS6" s="9">
        <v>418</v>
      </c>
      <c r="CT6" s="9">
        <v>19</v>
      </c>
      <c r="CU6" s="9">
        <v>17</v>
      </c>
      <c r="CV6" s="9">
        <v>89</v>
      </c>
      <c r="CW6" s="9">
        <v>46</v>
      </c>
      <c r="CX6" s="9">
        <f t="shared" si="12"/>
        <v>43</v>
      </c>
      <c r="CY6" s="11" t="s">
        <v>34</v>
      </c>
      <c r="CZ6" s="10">
        <v>889</v>
      </c>
      <c r="DA6" s="9">
        <v>161</v>
      </c>
      <c r="DB6" s="9">
        <f t="shared" ref="DB6:DB11" si="27">CZ6-DA6</f>
        <v>728</v>
      </c>
      <c r="DC6" s="9">
        <v>315</v>
      </c>
      <c r="DD6" s="9">
        <v>244</v>
      </c>
      <c r="DE6" s="9">
        <v>332</v>
      </c>
      <c r="DF6" s="9">
        <f t="shared" si="13"/>
        <v>171</v>
      </c>
      <c r="DG6" s="9">
        <v>415</v>
      </c>
      <c r="DH6" s="9">
        <v>20</v>
      </c>
      <c r="DI6" s="9">
        <v>19</v>
      </c>
      <c r="DJ6" s="9">
        <v>84</v>
      </c>
      <c r="DK6" s="9">
        <v>44</v>
      </c>
      <c r="DL6" s="9">
        <f t="shared" si="14"/>
        <v>40</v>
      </c>
      <c r="DM6" s="11" t="s">
        <v>34</v>
      </c>
      <c r="DN6" s="10">
        <v>858</v>
      </c>
      <c r="DO6" s="9">
        <v>160</v>
      </c>
      <c r="DP6" s="9">
        <f t="shared" ref="DP6:DP11" si="28">DN6-DO6</f>
        <v>698</v>
      </c>
      <c r="DQ6" s="9">
        <v>232</v>
      </c>
      <c r="DR6" s="9">
        <v>299</v>
      </c>
      <c r="DS6" s="9">
        <v>328</v>
      </c>
      <c r="DT6" s="9">
        <f t="shared" si="15"/>
        <v>168</v>
      </c>
      <c r="DU6" s="9">
        <v>407</v>
      </c>
      <c r="DV6" s="9">
        <v>23</v>
      </c>
      <c r="DW6" s="9">
        <v>16</v>
      </c>
      <c r="DX6" s="9">
        <v>66</v>
      </c>
      <c r="DY6" s="9">
        <v>31</v>
      </c>
      <c r="DZ6" s="9">
        <f t="shared" si="16"/>
        <v>35</v>
      </c>
      <c r="EA6" s="11" t="s">
        <v>34</v>
      </c>
      <c r="EB6" s="10">
        <v>878</v>
      </c>
      <c r="EC6" s="9">
        <v>160</v>
      </c>
      <c r="ED6" s="9">
        <f t="shared" ref="ED6:ED11" si="29">EB6-EC6</f>
        <v>718</v>
      </c>
      <c r="EE6" s="9">
        <v>268</v>
      </c>
      <c r="EF6" s="9">
        <v>267</v>
      </c>
      <c r="EG6" s="9">
        <v>334</v>
      </c>
      <c r="EH6" s="9">
        <f t="shared" si="17"/>
        <v>174</v>
      </c>
      <c r="EI6" s="9">
        <v>422</v>
      </c>
      <c r="EJ6" s="9">
        <v>12</v>
      </c>
      <c r="EK6" s="9">
        <v>20</v>
      </c>
      <c r="EL6" s="9">
        <v>73</v>
      </c>
      <c r="EM6" s="9">
        <v>37</v>
      </c>
      <c r="EN6" s="9">
        <f t="shared" si="18"/>
        <v>36</v>
      </c>
      <c r="EO6" s="11" t="s">
        <v>34</v>
      </c>
      <c r="EP6" s="10">
        <v>916</v>
      </c>
      <c r="EQ6" s="9">
        <v>160</v>
      </c>
      <c r="ER6" s="9">
        <f t="shared" ref="ER6:ER11" si="30">EP6-EQ6</f>
        <v>756</v>
      </c>
      <c r="ES6" s="9">
        <v>293</v>
      </c>
      <c r="ET6" s="9">
        <v>258</v>
      </c>
      <c r="EU6" s="9">
        <v>336</v>
      </c>
      <c r="EV6" s="9">
        <f t="shared" si="19"/>
        <v>176</v>
      </c>
      <c r="EW6" s="9">
        <v>414</v>
      </c>
      <c r="EX6" s="9">
        <v>19</v>
      </c>
      <c r="EY6" s="9">
        <v>22</v>
      </c>
      <c r="EZ6" s="9">
        <v>92</v>
      </c>
      <c r="FA6" s="9">
        <v>43</v>
      </c>
      <c r="FB6" s="9">
        <f t="shared" si="20"/>
        <v>49</v>
      </c>
      <c r="FC6" s="11" t="s">
        <v>34</v>
      </c>
      <c r="FD6" s="11">
        <f>AVERAGE(T6,AH6,AV6,BJ6,BX6,CL6,CZ6,DN6,EB6,EP6)</f>
        <v>884.4</v>
      </c>
      <c r="FE6" s="11">
        <f>AVERAGE(U6,AI6,AW6,BK6,BY6,CM6,DA6,DO6,EC6,EQ6)</f>
        <v>163.4</v>
      </c>
      <c r="FF6" s="11">
        <f t="shared" si="22"/>
        <v>721</v>
      </c>
      <c r="FG6" s="11" t="str">
        <f t="shared" ref="FG6:FG11" si="31">IF(AND(FC6=EO6,FC6=EA6,FC6=DM6,FC6=CY6,FC6=CK6,FC6=BW6,FC6=BI6,FC6=AU6,FC6=AG6),"equal","no equal")</f>
        <v>equal</v>
      </c>
      <c r="FH6" s="11">
        <f t="shared" ref="FH6:FH11" si="32">AVERAGE(Z6,AN6,BB6,BP6,CD6,CR6,DF6,DT6,EH6,EV6)</f>
        <v>171.2</v>
      </c>
      <c r="FI6" s="11">
        <f t="shared" ref="FI6:FI11" si="33">AVERAGE(W6,AK6,AY6,BM6,CA6,CO6,DC6,DQ6,EE6,ES6)</f>
        <v>289.10000000000002</v>
      </c>
      <c r="FJ6" s="11">
        <f t="shared" ref="FJ6:FJ11" si="34">AVERAGE(AA6,AO6,BC6,BQ6,CE6,CS6,DG6,DU6,EI6,EW6)</f>
        <v>410</v>
      </c>
      <c r="FK6" s="11">
        <f t="shared" ref="FK6:FK11" si="35">AVERAGE(X6,AL6,AZ6,BN6,CB6,CP6,DD6,DR6,EF6,ET6)</f>
        <v>278.60000000000002</v>
      </c>
      <c r="FL6" s="11">
        <f t="shared" ref="FL6:FL11" si="36">AVERAGE(AD6,AR6,BF6,BT6,CH6,CV6,DJ6,DX6,EL6,EZ6)</f>
        <v>81.599999999999994</v>
      </c>
      <c r="FM6" s="11">
        <f t="shared" ref="FM6:FM11" si="37">AVERAGE(AC6,AQ6,BE6,BS6,CG6,CU6,DI6,DW6,EK6,EY6)</f>
        <v>19.2</v>
      </c>
      <c r="FN6" s="11">
        <f t="shared" ref="FN6:FN11" si="38">AVERAGE(AB6,AP6,BD6,BR6,CF6,CT6,DH6,DV6,EJ6,EX6)</f>
        <v>18.8</v>
      </c>
    </row>
    <row r="7" spans="1:170">
      <c r="A7" s="17" t="s">
        <v>47</v>
      </c>
      <c r="B7" s="1" t="s">
        <v>18</v>
      </c>
      <c r="C7" s="17" t="s">
        <v>20</v>
      </c>
      <c r="D7" s="17" t="s">
        <v>67</v>
      </c>
      <c r="E7" s="1">
        <v>21</v>
      </c>
      <c r="F7" s="17" t="s">
        <v>22</v>
      </c>
      <c r="G7" s="1">
        <v>134</v>
      </c>
      <c r="H7" s="1">
        <v>10.1</v>
      </c>
      <c r="I7" s="1">
        <v>14</v>
      </c>
      <c r="J7" s="1">
        <v>537</v>
      </c>
      <c r="K7" s="1">
        <v>1165</v>
      </c>
      <c r="L7" s="1">
        <v>62675</v>
      </c>
      <c r="M7" s="1">
        <v>619</v>
      </c>
      <c r="N7" s="1">
        <v>21</v>
      </c>
      <c r="O7" s="1">
        <v>38</v>
      </c>
      <c r="P7" s="1">
        <v>2180</v>
      </c>
      <c r="Q7" s="1">
        <v>46</v>
      </c>
      <c r="R7" s="1">
        <v>19</v>
      </c>
      <c r="S7" s="1">
        <v>1180</v>
      </c>
      <c r="T7" s="4">
        <v>566</v>
      </c>
      <c r="U7" s="1">
        <v>276</v>
      </c>
      <c r="V7" s="1">
        <f t="shared" si="0"/>
        <v>290</v>
      </c>
      <c r="W7" s="1">
        <v>366</v>
      </c>
      <c r="X7" s="1">
        <v>110</v>
      </c>
      <c r="Y7" s="1">
        <v>411</v>
      </c>
      <c r="Z7" s="1">
        <f t="shared" si="1"/>
        <v>135</v>
      </c>
      <c r="AA7" s="1">
        <v>29</v>
      </c>
      <c r="AB7" s="1">
        <v>13</v>
      </c>
      <c r="AC7" s="1">
        <v>16</v>
      </c>
      <c r="AD7" s="1">
        <v>79</v>
      </c>
      <c r="AE7" s="1">
        <v>38</v>
      </c>
      <c r="AF7" s="1">
        <f t="shared" si="2"/>
        <v>41</v>
      </c>
      <c r="AG7" s="7" t="s">
        <v>35</v>
      </c>
      <c r="AH7" s="4">
        <v>573</v>
      </c>
      <c r="AI7" s="1">
        <v>271</v>
      </c>
      <c r="AJ7" s="1">
        <f t="shared" ref="AJ7:AJ11" si="39">AH7-AI7</f>
        <v>302</v>
      </c>
      <c r="AK7" s="1">
        <v>414</v>
      </c>
      <c r="AL7" s="1">
        <v>113</v>
      </c>
      <c r="AM7" s="1">
        <v>406</v>
      </c>
      <c r="AN7" s="1">
        <f t="shared" si="3"/>
        <v>135</v>
      </c>
      <c r="AO7" s="1">
        <v>22</v>
      </c>
      <c r="AP7" s="1">
        <v>16</v>
      </c>
      <c r="AQ7" s="1">
        <v>18</v>
      </c>
      <c r="AR7" s="1">
        <v>85</v>
      </c>
      <c r="AS7" s="1">
        <v>39</v>
      </c>
      <c r="AT7" s="1">
        <f t="shared" si="4"/>
        <v>46</v>
      </c>
      <c r="AU7" s="7" t="s">
        <v>35</v>
      </c>
      <c r="AV7" s="4">
        <v>563</v>
      </c>
      <c r="AW7" s="1">
        <v>271</v>
      </c>
      <c r="AX7" s="2">
        <f t="shared" si="23"/>
        <v>292</v>
      </c>
      <c r="AY7" s="1">
        <v>370</v>
      </c>
      <c r="AZ7" s="1">
        <v>99</v>
      </c>
      <c r="BA7" s="1">
        <v>403</v>
      </c>
      <c r="BB7" s="1">
        <f t="shared" si="5"/>
        <v>132</v>
      </c>
      <c r="BC7" s="1">
        <v>28</v>
      </c>
      <c r="BD7" s="1">
        <v>12</v>
      </c>
      <c r="BE7" s="1">
        <v>20</v>
      </c>
      <c r="BF7" s="1">
        <v>81</v>
      </c>
      <c r="BG7" s="1">
        <v>32</v>
      </c>
      <c r="BH7" s="1">
        <f t="shared" si="6"/>
        <v>49</v>
      </c>
      <c r="BI7" s="7" t="s">
        <v>35</v>
      </c>
      <c r="BJ7" s="4">
        <v>548</v>
      </c>
      <c r="BK7" s="1">
        <v>276</v>
      </c>
      <c r="BL7" s="2">
        <f t="shared" si="24"/>
        <v>272</v>
      </c>
      <c r="BM7" s="1">
        <v>351</v>
      </c>
      <c r="BN7" s="1">
        <v>105</v>
      </c>
      <c r="BO7" s="1">
        <v>410</v>
      </c>
      <c r="BP7" s="1">
        <f t="shared" si="7"/>
        <v>134</v>
      </c>
      <c r="BQ7" s="1">
        <v>29</v>
      </c>
      <c r="BR7" s="1">
        <v>14</v>
      </c>
      <c r="BS7" s="1">
        <v>15</v>
      </c>
      <c r="BT7" s="1">
        <v>62</v>
      </c>
      <c r="BU7" s="1">
        <v>31</v>
      </c>
      <c r="BV7" s="1">
        <f t="shared" si="8"/>
        <v>31</v>
      </c>
      <c r="BW7" s="7" t="s">
        <v>35</v>
      </c>
      <c r="BX7" s="4">
        <v>577</v>
      </c>
      <c r="BY7" s="1">
        <v>270</v>
      </c>
      <c r="BZ7" s="2">
        <f t="shared" si="25"/>
        <v>307</v>
      </c>
      <c r="CA7" s="1">
        <v>413</v>
      </c>
      <c r="CB7" s="1">
        <v>113</v>
      </c>
      <c r="CC7" s="1">
        <v>404</v>
      </c>
      <c r="CD7" s="1">
        <f t="shared" si="9"/>
        <v>134</v>
      </c>
      <c r="CE7" s="1">
        <v>24</v>
      </c>
      <c r="CF7" s="1">
        <v>18</v>
      </c>
      <c r="CG7" s="1">
        <v>25</v>
      </c>
      <c r="CH7" s="1">
        <v>76</v>
      </c>
      <c r="CI7" s="1">
        <v>37</v>
      </c>
      <c r="CJ7" s="1">
        <f t="shared" si="10"/>
        <v>39</v>
      </c>
      <c r="CK7" s="7" t="s">
        <v>35</v>
      </c>
      <c r="CL7" s="4">
        <v>593</v>
      </c>
      <c r="CM7" s="1">
        <v>274</v>
      </c>
      <c r="CN7" s="2">
        <f t="shared" si="26"/>
        <v>319</v>
      </c>
      <c r="CO7" s="1">
        <v>375</v>
      </c>
      <c r="CP7" s="1">
        <v>102</v>
      </c>
      <c r="CQ7" s="1">
        <v>413</v>
      </c>
      <c r="CR7" s="1">
        <f t="shared" si="11"/>
        <v>139</v>
      </c>
      <c r="CS7" s="1">
        <v>24</v>
      </c>
      <c r="CT7" s="1">
        <v>16</v>
      </c>
      <c r="CU7" s="1">
        <v>19</v>
      </c>
      <c r="CV7" s="1">
        <v>98</v>
      </c>
      <c r="CW7" s="1">
        <v>35</v>
      </c>
      <c r="CX7" s="1">
        <f t="shared" si="12"/>
        <v>63</v>
      </c>
      <c r="CY7" s="7" t="s">
        <v>35</v>
      </c>
      <c r="CZ7" s="4">
        <v>552</v>
      </c>
      <c r="DA7" s="1">
        <v>272</v>
      </c>
      <c r="DB7" s="2">
        <f t="shared" si="27"/>
        <v>280</v>
      </c>
      <c r="DC7" s="1">
        <v>357</v>
      </c>
      <c r="DD7" s="1">
        <v>108</v>
      </c>
      <c r="DE7" s="1">
        <v>406</v>
      </c>
      <c r="DF7" s="1">
        <f t="shared" si="13"/>
        <v>134</v>
      </c>
      <c r="DG7" s="1">
        <v>28</v>
      </c>
      <c r="DH7" s="1">
        <v>14</v>
      </c>
      <c r="DI7" s="1">
        <v>22</v>
      </c>
      <c r="DJ7" s="1">
        <v>64</v>
      </c>
      <c r="DK7" s="1">
        <v>33</v>
      </c>
      <c r="DL7" s="1">
        <f t="shared" si="14"/>
        <v>31</v>
      </c>
      <c r="DM7" s="7" t="s">
        <v>35</v>
      </c>
      <c r="DN7" s="4">
        <v>573</v>
      </c>
      <c r="DO7" s="1">
        <v>268</v>
      </c>
      <c r="DP7" s="1">
        <f t="shared" si="28"/>
        <v>305</v>
      </c>
      <c r="DQ7" s="1">
        <v>374</v>
      </c>
      <c r="DR7" s="1">
        <v>97</v>
      </c>
      <c r="DS7" s="1">
        <v>404</v>
      </c>
      <c r="DT7" s="1">
        <f t="shared" si="15"/>
        <v>136</v>
      </c>
      <c r="DU7" s="1">
        <v>22</v>
      </c>
      <c r="DV7" s="1">
        <v>14</v>
      </c>
      <c r="DW7" s="1">
        <v>21</v>
      </c>
      <c r="DX7" s="1">
        <v>91</v>
      </c>
      <c r="DY7" s="1">
        <v>47</v>
      </c>
      <c r="DZ7" s="1">
        <f t="shared" si="16"/>
        <v>44</v>
      </c>
      <c r="EA7" s="7" t="s">
        <v>35</v>
      </c>
      <c r="EB7" s="4">
        <v>649</v>
      </c>
      <c r="EC7" s="1">
        <v>350</v>
      </c>
      <c r="ED7" s="1">
        <f t="shared" si="29"/>
        <v>299</v>
      </c>
      <c r="EE7" s="1">
        <v>411</v>
      </c>
      <c r="EF7" s="1">
        <v>111</v>
      </c>
      <c r="EG7" s="1">
        <v>492</v>
      </c>
      <c r="EH7" s="1">
        <f t="shared" si="17"/>
        <v>142</v>
      </c>
      <c r="EI7" s="1">
        <v>31</v>
      </c>
      <c r="EJ7" s="1">
        <v>16</v>
      </c>
      <c r="EK7" s="1">
        <v>21</v>
      </c>
      <c r="EL7" s="1">
        <v>67</v>
      </c>
      <c r="EM7" s="1">
        <v>35</v>
      </c>
      <c r="EN7" s="1">
        <f t="shared" si="18"/>
        <v>32</v>
      </c>
      <c r="EO7" s="7" t="s">
        <v>35</v>
      </c>
      <c r="EP7" s="4">
        <v>562</v>
      </c>
      <c r="EQ7" s="1">
        <v>272</v>
      </c>
      <c r="ER7" s="1">
        <f t="shared" si="30"/>
        <v>290</v>
      </c>
      <c r="ES7" s="1">
        <v>360</v>
      </c>
      <c r="ET7" s="1">
        <v>110</v>
      </c>
      <c r="EU7" s="1">
        <v>405</v>
      </c>
      <c r="EV7" s="1">
        <f t="shared" si="19"/>
        <v>133</v>
      </c>
      <c r="EW7" s="1">
        <v>26</v>
      </c>
      <c r="EX7" s="1">
        <v>14</v>
      </c>
      <c r="EY7" s="1">
        <v>18</v>
      </c>
      <c r="EZ7" s="1">
        <v>80</v>
      </c>
      <c r="FA7" s="1">
        <v>38</v>
      </c>
      <c r="FB7" s="1">
        <f t="shared" si="20"/>
        <v>42</v>
      </c>
      <c r="FC7" s="7" t="s">
        <v>35</v>
      </c>
      <c r="FD7" s="22">
        <f>AVERAGE(T7,AH7,AV7,BJ7,BX7,CL7,CZ7,DN7,EB7,EP7)</f>
        <v>575.6</v>
      </c>
      <c r="FE7" s="22">
        <f t="shared" ref="FE7:FE9" si="40">AVERAGE(U7,AI7,AW7,BK7,BY7,CM7,DA7,DO7,EC7,EQ7)</f>
        <v>280</v>
      </c>
      <c r="FF7" s="22">
        <f t="shared" si="22"/>
        <v>295.60000000000002</v>
      </c>
      <c r="FG7" s="22" t="str">
        <f t="shared" si="31"/>
        <v>equal</v>
      </c>
      <c r="FH7" s="22">
        <f t="shared" si="32"/>
        <v>135.4</v>
      </c>
      <c r="FI7" s="22">
        <f t="shared" si="33"/>
        <v>379.1</v>
      </c>
      <c r="FJ7" s="22">
        <f t="shared" si="34"/>
        <v>26.3</v>
      </c>
      <c r="FK7" s="22">
        <f t="shared" si="35"/>
        <v>106.8</v>
      </c>
      <c r="FL7" s="22">
        <f t="shared" si="36"/>
        <v>78.3</v>
      </c>
      <c r="FM7" s="22">
        <f t="shared" si="37"/>
        <v>19.5</v>
      </c>
      <c r="FN7" s="22">
        <f t="shared" si="38"/>
        <v>14.7</v>
      </c>
    </row>
    <row r="8" spans="1:170">
      <c r="A8" s="12" t="s">
        <v>23</v>
      </c>
      <c r="B8" s="13" t="s">
        <v>25</v>
      </c>
      <c r="C8" s="12" t="s">
        <v>24</v>
      </c>
      <c r="D8" s="12" t="s">
        <v>66</v>
      </c>
      <c r="E8" s="13">
        <v>21</v>
      </c>
      <c r="F8" s="12" t="s">
        <v>26</v>
      </c>
      <c r="G8" s="13">
        <v>58.2</v>
      </c>
      <c r="H8" s="13">
        <v>11.3</v>
      </c>
      <c r="I8" s="13">
        <v>0</v>
      </c>
      <c r="J8" s="13">
        <v>140</v>
      </c>
      <c r="K8" s="13">
        <v>797</v>
      </c>
      <c r="L8" s="13">
        <v>30512</v>
      </c>
      <c r="M8" s="13">
        <v>158</v>
      </c>
      <c r="N8" s="13">
        <v>15</v>
      </c>
      <c r="O8" s="13">
        <v>19</v>
      </c>
      <c r="P8" s="13">
        <v>2526</v>
      </c>
      <c r="Q8" s="13">
        <v>17</v>
      </c>
      <c r="R8" s="13">
        <v>8</v>
      </c>
      <c r="S8" s="13">
        <v>576</v>
      </c>
      <c r="T8" s="14">
        <v>406</v>
      </c>
      <c r="U8" s="13">
        <v>142</v>
      </c>
      <c r="V8" s="9">
        <f t="shared" si="0"/>
        <v>264</v>
      </c>
      <c r="W8" s="13">
        <v>263</v>
      </c>
      <c r="X8" s="13">
        <v>83</v>
      </c>
      <c r="Y8" s="13">
        <v>255</v>
      </c>
      <c r="Z8" s="9">
        <f t="shared" si="1"/>
        <v>113</v>
      </c>
      <c r="AA8" s="13">
        <v>18</v>
      </c>
      <c r="AB8" s="13">
        <v>16</v>
      </c>
      <c r="AC8" s="13">
        <v>19</v>
      </c>
      <c r="AD8" s="13">
        <v>70</v>
      </c>
      <c r="AE8" s="13">
        <v>33</v>
      </c>
      <c r="AF8" s="9">
        <f t="shared" si="2"/>
        <v>37</v>
      </c>
      <c r="AG8" s="11" t="s">
        <v>34</v>
      </c>
      <c r="AH8" s="14">
        <v>388</v>
      </c>
      <c r="AI8" s="13">
        <v>132</v>
      </c>
      <c r="AJ8" s="9">
        <f t="shared" si="39"/>
        <v>256</v>
      </c>
      <c r="AK8" s="13">
        <v>250</v>
      </c>
      <c r="AL8" s="13">
        <v>80</v>
      </c>
      <c r="AM8" s="13">
        <v>246</v>
      </c>
      <c r="AN8" s="9">
        <f t="shared" si="3"/>
        <v>114</v>
      </c>
      <c r="AO8" s="13">
        <v>21</v>
      </c>
      <c r="AP8" s="13">
        <v>15</v>
      </c>
      <c r="AQ8" s="13">
        <v>18</v>
      </c>
      <c r="AR8" s="13">
        <v>63</v>
      </c>
      <c r="AS8" s="13">
        <v>32</v>
      </c>
      <c r="AT8" s="9">
        <f t="shared" si="4"/>
        <v>31</v>
      </c>
      <c r="AU8" s="11" t="s">
        <v>34</v>
      </c>
      <c r="AV8" s="14">
        <v>564</v>
      </c>
      <c r="AW8" s="13">
        <v>141</v>
      </c>
      <c r="AX8" s="13">
        <f t="shared" si="23"/>
        <v>423</v>
      </c>
      <c r="AY8" s="13">
        <v>249</v>
      </c>
      <c r="AZ8" s="13">
        <v>92</v>
      </c>
      <c r="BA8" s="13">
        <v>251</v>
      </c>
      <c r="BB8" s="9">
        <f t="shared" si="5"/>
        <v>110</v>
      </c>
      <c r="BC8" s="13">
        <v>19</v>
      </c>
      <c r="BD8" s="13">
        <v>16</v>
      </c>
      <c r="BE8" s="13">
        <v>21</v>
      </c>
      <c r="BF8" s="13">
        <v>218</v>
      </c>
      <c r="BG8" s="13">
        <v>176</v>
      </c>
      <c r="BH8" s="9">
        <f t="shared" si="6"/>
        <v>42</v>
      </c>
      <c r="BI8" s="11" t="s">
        <v>34</v>
      </c>
      <c r="BJ8" s="14">
        <v>423</v>
      </c>
      <c r="BK8" s="13">
        <v>136</v>
      </c>
      <c r="BL8" s="9">
        <f t="shared" si="24"/>
        <v>287</v>
      </c>
      <c r="BM8" s="13">
        <v>265</v>
      </c>
      <c r="BN8" s="13">
        <v>141</v>
      </c>
      <c r="BO8" s="13">
        <v>249</v>
      </c>
      <c r="BP8" s="9">
        <f t="shared" si="7"/>
        <v>113</v>
      </c>
      <c r="BQ8" s="13">
        <v>14</v>
      </c>
      <c r="BR8" s="13">
        <v>18</v>
      </c>
      <c r="BS8" s="13">
        <v>19</v>
      </c>
      <c r="BT8" s="13">
        <v>87</v>
      </c>
      <c r="BU8" s="13">
        <v>46</v>
      </c>
      <c r="BV8" s="9">
        <f t="shared" si="8"/>
        <v>41</v>
      </c>
      <c r="BW8" s="11" t="s">
        <v>34</v>
      </c>
      <c r="BX8" s="14">
        <v>420</v>
      </c>
      <c r="BY8" s="13">
        <v>131</v>
      </c>
      <c r="BZ8" s="9">
        <f t="shared" si="25"/>
        <v>289</v>
      </c>
      <c r="CA8" s="13">
        <v>252</v>
      </c>
      <c r="CB8" s="13">
        <v>101</v>
      </c>
      <c r="CC8" s="13">
        <v>245</v>
      </c>
      <c r="CD8" s="9">
        <f t="shared" si="9"/>
        <v>114</v>
      </c>
      <c r="CE8" s="13">
        <v>20</v>
      </c>
      <c r="CF8" s="13">
        <v>16</v>
      </c>
      <c r="CG8" s="13">
        <v>17</v>
      </c>
      <c r="CH8" s="13">
        <v>93</v>
      </c>
      <c r="CI8" s="13">
        <v>44</v>
      </c>
      <c r="CJ8" s="9">
        <f t="shared" si="10"/>
        <v>49</v>
      </c>
      <c r="CK8" s="11" t="s">
        <v>34</v>
      </c>
      <c r="CL8" s="14">
        <v>429</v>
      </c>
      <c r="CM8" s="13">
        <v>133</v>
      </c>
      <c r="CN8" s="9">
        <f t="shared" si="26"/>
        <v>296</v>
      </c>
      <c r="CO8" s="13">
        <v>268</v>
      </c>
      <c r="CP8" s="13">
        <v>90</v>
      </c>
      <c r="CQ8" s="13">
        <v>247</v>
      </c>
      <c r="CR8" s="9">
        <f t="shared" si="11"/>
        <v>114</v>
      </c>
      <c r="CS8" s="13">
        <v>27</v>
      </c>
      <c r="CT8" s="13">
        <v>19</v>
      </c>
      <c r="CU8" s="13">
        <v>23</v>
      </c>
      <c r="CV8" s="13">
        <v>69</v>
      </c>
      <c r="CW8" s="13">
        <v>34</v>
      </c>
      <c r="CX8" s="9">
        <f t="shared" si="12"/>
        <v>35</v>
      </c>
      <c r="CY8" s="11" t="s">
        <v>34</v>
      </c>
      <c r="CZ8" s="14">
        <v>440</v>
      </c>
      <c r="DA8" s="13">
        <v>138</v>
      </c>
      <c r="DB8" s="9">
        <f t="shared" si="27"/>
        <v>302</v>
      </c>
      <c r="DC8" s="13">
        <v>272</v>
      </c>
      <c r="DD8" s="13">
        <v>82</v>
      </c>
      <c r="DE8" s="13">
        <v>253</v>
      </c>
      <c r="DF8" s="9">
        <f t="shared" si="13"/>
        <v>115</v>
      </c>
      <c r="DG8" s="13">
        <v>24</v>
      </c>
      <c r="DH8" s="13">
        <v>13</v>
      </c>
      <c r="DI8" s="13">
        <v>21</v>
      </c>
      <c r="DJ8" s="13">
        <v>87</v>
      </c>
      <c r="DK8" s="13">
        <v>40</v>
      </c>
      <c r="DL8" s="9">
        <f t="shared" si="14"/>
        <v>47</v>
      </c>
      <c r="DM8" s="11" t="s">
        <v>34</v>
      </c>
      <c r="DN8" s="14">
        <v>415</v>
      </c>
      <c r="DO8" s="13">
        <v>142</v>
      </c>
      <c r="DP8" s="13">
        <f t="shared" si="28"/>
        <v>273</v>
      </c>
      <c r="DQ8" s="13">
        <v>260</v>
      </c>
      <c r="DR8" s="13">
        <v>87</v>
      </c>
      <c r="DS8" s="13">
        <v>256</v>
      </c>
      <c r="DT8" s="9">
        <f t="shared" si="15"/>
        <v>114</v>
      </c>
      <c r="DU8" s="13">
        <v>16</v>
      </c>
      <c r="DV8" s="13">
        <v>11</v>
      </c>
      <c r="DW8" s="13">
        <v>19</v>
      </c>
      <c r="DX8" s="13">
        <v>85</v>
      </c>
      <c r="DY8" s="13">
        <v>45</v>
      </c>
      <c r="DZ8" s="9">
        <f t="shared" si="16"/>
        <v>40</v>
      </c>
      <c r="EA8" s="11" t="s">
        <v>34</v>
      </c>
      <c r="EB8" s="14">
        <v>471</v>
      </c>
      <c r="EC8" s="13">
        <v>141</v>
      </c>
      <c r="ED8" s="13">
        <f t="shared" si="29"/>
        <v>330</v>
      </c>
      <c r="EE8" s="13">
        <v>298</v>
      </c>
      <c r="EF8" s="13">
        <v>87</v>
      </c>
      <c r="EG8" s="13">
        <v>255</v>
      </c>
      <c r="EH8" s="9">
        <f t="shared" si="17"/>
        <v>114</v>
      </c>
      <c r="EI8" s="13">
        <v>20</v>
      </c>
      <c r="EJ8" s="13">
        <v>16</v>
      </c>
      <c r="EK8" s="13">
        <v>16</v>
      </c>
      <c r="EL8" s="13">
        <v>73</v>
      </c>
      <c r="EM8" s="13">
        <v>31</v>
      </c>
      <c r="EN8" s="9">
        <f t="shared" si="18"/>
        <v>42</v>
      </c>
      <c r="EO8" s="11" t="s">
        <v>34</v>
      </c>
      <c r="EP8" s="14">
        <v>416</v>
      </c>
      <c r="EQ8" s="13">
        <v>136</v>
      </c>
      <c r="ER8" s="13">
        <f t="shared" si="30"/>
        <v>280</v>
      </c>
      <c r="ES8" s="13">
        <v>254</v>
      </c>
      <c r="ET8" s="13">
        <v>112</v>
      </c>
      <c r="EU8" s="13">
        <v>259</v>
      </c>
      <c r="EV8" s="13">
        <f t="shared" si="19"/>
        <v>123</v>
      </c>
      <c r="EW8" s="13">
        <v>15</v>
      </c>
      <c r="EX8" s="13">
        <v>15</v>
      </c>
      <c r="EY8" s="13">
        <v>18</v>
      </c>
      <c r="EZ8" s="13">
        <v>87</v>
      </c>
      <c r="FA8" s="13">
        <v>53</v>
      </c>
      <c r="FB8" s="9">
        <f t="shared" si="20"/>
        <v>34</v>
      </c>
      <c r="FC8" s="11" t="s">
        <v>34</v>
      </c>
      <c r="FD8" s="11">
        <f t="shared" si="21"/>
        <v>437.2</v>
      </c>
      <c r="FE8" s="11">
        <f t="shared" si="40"/>
        <v>137.19999999999999</v>
      </c>
      <c r="FF8" s="11">
        <f t="shared" si="22"/>
        <v>300</v>
      </c>
      <c r="FG8" s="11" t="str">
        <f t="shared" si="31"/>
        <v>equal</v>
      </c>
      <c r="FH8" s="11">
        <f t="shared" si="32"/>
        <v>114.4</v>
      </c>
      <c r="FI8" s="11">
        <f t="shared" si="33"/>
        <v>263.10000000000002</v>
      </c>
      <c r="FJ8" s="11">
        <f t="shared" si="34"/>
        <v>19.399999999999999</v>
      </c>
      <c r="FK8" s="11">
        <f t="shared" si="35"/>
        <v>95.5</v>
      </c>
      <c r="FL8" s="11">
        <f t="shared" si="36"/>
        <v>93.2</v>
      </c>
      <c r="FM8" s="11">
        <f t="shared" si="37"/>
        <v>19.100000000000001</v>
      </c>
      <c r="FN8" s="11">
        <f t="shared" si="38"/>
        <v>15.5</v>
      </c>
    </row>
    <row r="9" spans="1:170">
      <c r="A9" s="17" t="s">
        <v>29</v>
      </c>
      <c r="B9" s="1" t="s">
        <v>27</v>
      </c>
      <c r="C9" t="s">
        <v>28</v>
      </c>
      <c r="D9" t="s">
        <v>63</v>
      </c>
      <c r="E9" s="1">
        <v>17</v>
      </c>
      <c r="F9" s="17" t="s">
        <v>21</v>
      </c>
      <c r="G9" s="1">
        <v>79.7</v>
      </c>
      <c r="H9" s="1">
        <v>11.9</v>
      </c>
      <c r="I9" s="1">
        <v>118</v>
      </c>
      <c r="J9" s="1">
        <v>232</v>
      </c>
      <c r="K9" s="1">
        <v>2086</v>
      </c>
      <c r="L9" s="1">
        <v>94671</v>
      </c>
      <c r="M9" s="1">
        <v>235</v>
      </c>
      <c r="N9" s="1">
        <v>31</v>
      </c>
      <c r="O9" s="1">
        <v>22</v>
      </c>
      <c r="P9" s="1">
        <v>1220</v>
      </c>
      <c r="Q9" s="1">
        <v>18</v>
      </c>
      <c r="R9" s="1">
        <v>9</v>
      </c>
      <c r="S9" s="1">
        <v>716</v>
      </c>
      <c r="T9" s="4">
        <v>471</v>
      </c>
      <c r="U9" s="1">
        <v>127</v>
      </c>
      <c r="V9" s="1">
        <f>T9-U9</f>
        <v>344</v>
      </c>
      <c r="W9" s="1">
        <v>307</v>
      </c>
      <c r="X9" s="1">
        <v>85</v>
      </c>
      <c r="Y9" s="1">
        <v>316</v>
      </c>
      <c r="Z9" s="1">
        <f>Y9-U9</f>
        <v>189</v>
      </c>
      <c r="AA9" s="1">
        <v>32</v>
      </c>
      <c r="AB9" s="1">
        <v>15</v>
      </c>
      <c r="AC9" s="1">
        <v>15</v>
      </c>
      <c r="AD9" s="1">
        <v>70</v>
      </c>
      <c r="AE9" s="1">
        <v>34</v>
      </c>
      <c r="AF9" s="1">
        <f>AD9-AE9</f>
        <v>36</v>
      </c>
      <c r="AG9" s="7" t="s">
        <v>36</v>
      </c>
      <c r="AH9" s="4">
        <v>484</v>
      </c>
      <c r="AI9" s="1">
        <v>124</v>
      </c>
      <c r="AJ9" s="1">
        <f t="shared" si="39"/>
        <v>360</v>
      </c>
      <c r="AK9" s="1">
        <v>291</v>
      </c>
      <c r="AL9" s="1">
        <v>83</v>
      </c>
      <c r="AM9" s="1">
        <v>316</v>
      </c>
      <c r="AN9" s="1">
        <f>AM9-AI9</f>
        <v>192</v>
      </c>
      <c r="AO9" s="1">
        <v>37</v>
      </c>
      <c r="AP9" s="1">
        <v>12</v>
      </c>
      <c r="AQ9" s="1">
        <v>21</v>
      </c>
      <c r="AR9" s="1">
        <v>73</v>
      </c>
      <c r="AS9" s="1">
        <v>38</v>
      </c>
      <c r="AT9" s="1">
        <f>AR9-AS9</f>
        <v>35</v>
      </c>
      <c r="AU9" s="7" t="s">
        <v>36</v>
      </c>
      <c r="AV9" s="4">
        <v>499</v>
      </c>
      <c r="AW9" s="1">
        <v>123</v>
      </c>
      <c r="AX9" s="2">
        <f t="shared" si="23"/>
        <v>376</v>
      </c>
      <c r="AY9" s="1">
        <v>304</v>
      </c>
      <c r="AZ9" s="1">
        <v>98</v>
      </c>
      <c r="BA9" s="1">
        <v>312</v>
      </c>
      <c r="BB9" s="1">
        <f>BA9-AW9</f>
        <v>189</v>
      </c>
      <c r="BC9" s="1">
        <v>58</v>
      </c>
      <c r="BD9" s="1">
        <v>16</v>
      </c>
      <c r="BE9" s="1">
        <v>23</v>
      </c>
      <c r="BF9" s="1">
        <v>70</v>
      </c>
      <c r="BG9" s="1">
        <v>35</v>
      </c>
      <c r="BH9" s="1">
        <f>BF9-BG9</f>
        <v>35</v>
      </c>
      <c r="BI9" s="7" t="s">
        <v>36</v>
      </c>
      <c r="BJ9" s="4">
        <v>612</v>
      </c>
      <c r="BK9" s="1">
        <v>125</v>
      </c>
      <c r="BL9" s="2">
        <f t="shared" si="24"/>
        <v>487</v>
      </c>
      <c r="BM9" s="1">
        <v>292</v>
      </c>
      <c r="BN9" s="1">
        <v>98</v>
      </c>
      <c r="BO9" s="1">
        <v>314</v>
      </c>
      <c r="BP9" s="1">
        <f>BO9-BK9</f>
        <v>189</v>
      </c>
      <c r="BQ9" s="1">
        <v>35</v>
      </c>
      <c r="BR9" s="1">
        <v>18</v>
      </c>
      <c r="BS9" s="1">
        <v>16</v>
      </c>
      <c r="BT9" s="1">
        <v>209</v>
      </c>
      <c r="BU9" s="1">
        <v>175</v>
      </c>
      <c r="BV9" s="1">
        <f>BT9-BU9</f>
        <v>34</v>
      </c>
      <c r="BW9" s="7" t="s">
        <v>36</v>
      </c>
      <c r="BX9" s="4">
        <v>533</v>
      </c>
      <c r="BY9" s="1">
        <v>124</v>
      </c>
      <c r="BZ9" s="2">
        <f t="shared" si="25"/>
        <v>409</v>
      </c>
      <c r="CA9" s="1">
        <v>335</v>
      </c>
      <c r="CB9" s="1">
        <v>89</v>
      </c>
      <c r="CC9" s="1">
        <v>313</v>
      </c>
      <c r="CD9" s="1">
        <f>CC9-BY9</f>
        <v>189</v>
      </c>
      <c r="CE9" s="1">
        <v>40</v>
      </c>
      <c r="CF9" s="1">
        <v>19</v>
      </c>
      <c r="CG9" s="1">
        <v>21</v>
      </c>
      <c r="CH9" s="1">
        <v>84</v>
      </c>
      <c r="CI9" s="1">
        <v>43</v>
      </c>
      <c r="CJ9" s="1">
        <f>CH9-CI9</f>
        <v>41</v>
      </c>
      <c r="CK9" s="7" t="s">
        <v>36</v>
      </c>
      <c r="CL9" s="4">
        <v>492</v>
      </c>
      <c r="CM9" s="1">
        <v>123</v>
      </c>
      <c r="CN9" s="2">
        <f t="shared" si="26"/>
        <v>369</v>
      </c>
      <c r="CO9" s="1">
        <v>302</v>
      </c>
      <c r="CP9" s="1">
        <v>87</v>
      </c>
      <c r="CQ9" s="1">
        <v>317</v>
      </c>
      <c r="CR9" s="1">
        <f>CQ9-CM9</f>
        <v>194</v>
      </c>
      <c r="CS9" s="1">
        <v>32</v>
      </c>
      <c r="CT9" s="1">
        <v>17</v>
      </c>
      <c r="CU9" s="1">
        <v>22</v>
      </c>
      <c r="CV9" s="1">
        <v>76</v>
      </c>
      <c r="CW9" s="1">
        <v>38</v>
      </c>
      <c r="CX9" s="1">
        <f>CV9-CW9</f>
        <v>38</v>
      </c>
      <c r="CY9" s="7" t="s">
        <v>36</v>
      </c>
      <c r="CZ9" s="4">
        <v>685</v>
      </c>
      <c r="DA9" s="1">
        <v>334</v>
      </c>
      <c r="DB9" s="2">
        <f t="shared" si="27"/>
        <v>351</v>
      </c>
      <c r="DC9" s="1">
        <v>308</v>
      </c>
      <c r="DD9" s="1">
        <v>105</v>
      </c>
      <c r="DE9" s="1">
        <v>523</v>
      </c>
      <c r="DF9" s="1">
        <f>DE9-DA9</f>
        <v>189</v>
      </c>
      <c r="DG9" s="1">
        <v>33</v>
      </c>
      <c r="DH9" s="1">
        <v>18</v>
      </c>
      <c r="DI9" s="1">
        <v>20</v>
      </c>
      <c r="DJ9" s="1">
        <v>74</v>
      </c>
      <c r="DK9" s="1">
        <v>38</v>
      </c>
      <c r="DL9" s="1">
        <f>DJ9-DK9</f>
        <v>36</v>
      </c>
      <c r="DM9" s="7" t="s">
        <v>36</v>
      </c>
      <c r="DN9" s="4">
        <v>436</v>
      </c>
      <c r="DO9" s="1">
        <v>122</v>
      </c>
      <c r="DP9" s="1">
        <f t="shared" si="28"/>
        <v>314</v>
      </c>
      <c r="DQ9" s="1">
        <v>278</v>
      </c>
      <c r="DR9" s="1">
        <v>91</v>
      </c>
      <c r="DS9" s="1">
        <v>274</v>
      </c>
      <c r="DT9" s="1">
        <f>DS9-DO9</f>
        <v>152</v>
      </c>
      <c r="DU9" s="1">
        <v>39</v>
      </c>
      <c r="DV9" s="1">
        <v>13</v>
      </c>
      <c r="DW9" s="1">
        <v>21</v>
      </c>
      <c r="DX9" s="1">
        <v>67</v>
      </c>
      <c r="DY9" s="1">
        <v>30</v>
      </c>
      <c r="DZ9" s="1">
        <f>DX9-DY9</f>
        <v>37</v>
      </c>
      <c r="EA9" s="7" t="s">
        <v>36</v>
      </c>
      <c r="EB9" s="4">
        <v>525</v>
      </c>
      <c r="EC9" s="1">
        <v>124</v>
      </c>
      <c r="ED9" s="1">
        <f t="shared" si="29"/>
        <v>401</v>
      </c>
      <c r="EE9" s="1">
        <v>353</v>
      </c>
      <c r="EF9" s="1">
        <v>94</v>
      </c>
      <c r="EG9" s="1">
        <v>279</v>
      </c>
      <c r="EH9" s="1">
        <f>EG9-EC9</f>
        <v>155</v>
      </c>
      <c r="EI9" s="1">
        <v>34</v>
      </c>
      <c r="EJ9" s="1">
        <v>13</v>
      </c>
      <c r="EK9" s="1">
        <v>15</v>
      </c>
      <c r="EL9" s="1">
        <v>91</v>
      </c>
      <c r="EM9" s="1">
        <v>45</v>
      </c>
      <c r="EN9" s="1">
        <f>EL9-EM9</f>
        <v>46</v>
      </c>
      <c r="EO9" s="7" t="s">
        <v>36</v>
      </c>
      <c r="EP9" s="4">
        <v>672</v>
      </c>
      <c r="EQ9" s="1">
        <v>321</v>
      </c>
      <c r="ER9" s="1">
        <f t="shared" si="30"/>
        <v>351</v>
      </c>
      <c r="ES9" s="1">
        <v>334</v>
      </c>
      <c r="ET9" s="1">
        <v>104</v>
      </c>
      <c r="EU9" s="1">
        <v>509</v>
      </c>
      <c r="EV9" s="1">
        <f>EU9-EQ9</f>
        <v>188</v>
      </c>
      <c r="EW9" s="1">
        <v>36</v>
      </c>
      <c r="EX9" s="1">
        <v>15</v>
      </c>
      <c r="EY9" s="1">
        <v>18</v>
      </c>
      <c r="EZ9" s="1">
        <v>75</v>
      </c>
      <c r="FA9" s="1">
        <v>34</v>
      </c>
      <c r="FB9" s="1">
        <f>EZ9-FA9</f>
        <v>41</v>
      </c>
      <c r="FC9" s="7" t="s">
        <v>36</v>
      </c>
      <c r="FD9" s="22">
        <f t="shared" si="21"/>
        <v>540.9</v>
      </c>
      <c r="FE9" s="22">
        <f t="shared" si="40"/>
        <v>164.7</v>
      </c>
      <c r="FF9" s="22">
        <f t="shared" si="22"/>
        <v>376.2</v>
      </c>
      <c r="FG9" s="22" t="str">
        <f t="shared" si="31"/>
        <v>equal</v>
      </c>
      <c r="FH9" s="22">
        <f t="shared" si="32"/>
        <v>182.6</v>
      </c>
      <c r="FI9" s="22">
        <f t="shared" si="33"/>
        <v>310.39999999999998</v>
      </c>
      <c r="FJ9" s="22">
        <f t="shared" si="34"/>
        <v>37.6</v>
      </c>
      <c r="FK9" s="22">
        <f t="shared" si="35"/>
        <v>93.4</v>
      </c>
      <c r="FL9" s="22">
        <f t="shared" si="36"/>
        <v>88.9</v>
      </c>
      <c r="FM9" s="22">
        <f t="shared" si="37"/>
        <v>19.2</v>
      </c>
      <c r="FN9" s="22">
        <f t="shared" si="38"/>
        <v>15.6</v>
      </c>
    </row>
    <row r="10" spans="1:170">
      <c r="A10" s="12" t="s">
        <v>30</v>
      </c>
      <c r="B10" s="13">
        <v>1</v>
      </c>
      <c r="C10" s="15" t="s">
        <v>31</v>
      </c>
      <c r="D10" s="15" t="s">
        <v>64</v>
      </c>
      <c r="E10" s="13">
        <v>21</v>
      </c>
      <c r="F10" s="15" t="s">
        <v>21</v>
      </c>
      <c r="G10" s="13">
        <v>37.299999999999997</v>
      </c>
      <c r="H10" s="13">
        <v>10.3</v>
      </c>
      <c r="I10" s="13">
        <v>0</v>
      </c>
      <c r="J10" s="13">
        <v>27</v>
      </c>
      <c r="K10" s="13">
        <v>120</v>
      </c>
      <c r="L10" s="13">
        <v>2854</v>
      </c>
      <c r="M10" s="13">
        <v>28</v>
      </c>
      <c r="N10" s="13">
        <v>11</v>
      </c>
      <c r="O10" s="13">
        <v>21</v>
      </c>
      <c r="P10" s="13">
        <v>857</v>
      </c>
      <c r="Q10" s="13">
        <v>18</v>
      </c>
      <c r="R10" s="13">
        <v>9</v>
      </c>
      <c r="S10" s="13">
        <v>79</v>
      </c>
      <c r="T10" s="14">
        <v>401</v>
      </c>
      <c r="U10" s="13">
        <v>51</v>
      </c>
      <c r="V10" s="9">
        <f t="shared" si="0"/>
        <v>350</v>
      </c>
      <c r="W10" s="13">
        <v>267</v>
      </c>
      <c r="X10" s="13">
        <v>97</v>
      </c>
      <c r="Y10" s="13">
        <v>150</v>
      </c>
      <c r="Z10" s="9">
        <f t="shared" si="1"/>
        <v>99</v>
      </c>
      <c r="AA10" s="13">
        <v>11</v>
      </c>
      <c r="AB10" s="13">
        <v>11</v>
      </c>
      <c r="AC10" s="13">
        <v>14</v>
      </c>
      <c r="AD10" s="13">
        <v>79</v>
      </c>
      <c r="AE10" s="13">
        <v>38</v>
      </c>
      <c r="AF10" s="9">
        <f t="shared" si="2"/>
        <v>41</v>
      </c>
      <c r="AG10" s="11" t="s">
        <v>62</v>
      </c>
      <c r="AH10" s="14">
        <v>372</v>
      </c>
      <c r="AI10" s="13">
        <v>32</v>
      </c>
      <c r="AJ10" s="9">
        <f t="shared" si="39"/>
        <v>340</v>
      </c>
      <c r="AK10" s="13">
        <v>237</v>
      </c>
      <c r="AL10" s="13">
        <v>115</v>
      </c>
      <c r="AM10" s="13">
        <v>120</v>
      </c>
      <c r="AN10" s="9">
        <f t="shared" si="3"/>
        <v>88</v>
      </c>
      <c r="AO10" s="13">
        <v>11</v>
      </c>
      <c r="AP10" s="13">
        <v>16</v>
      </c>
      <c r="AQ10" s="13">
        <v>22</v>
      </c>
      <c r="AR10" s="13">
        <v>67</v>
      </c>
      <c r="AS10" s="13">
        <v>32</v>
      </c>
      <c r="AT10" s="9">
        <f t="shared" si="4"/>
        <v>35</v>
      </c>
      <c r="AU10" s="11" t="s">
        <v>62</v>
      </c>
      <c r="AV10" s="14">
        <v>396</v>
      </c>
      <c r="AW10" s="13">
        <v>36</v>
      </c>
      <c r="AX10" s="13">
        <f t="shared" si="23"/>
        <v>360</v>
      </c>
      <c r="AY10" s="13">
        <v>263</v>
      </c>
      <c r="AZ10" s="13">
        <v>106</v>
      </c>
      <c r="BA10" s="13">
        <v>124</v>
      </c>
      <c r="BB10" s="9">
        <f t="shared" si="5"/>
        <v>88</v>
      </c>
      <c r="BC10" s="13">
        <v>12</v>
      </c>
      <c r="BD10" s="13">
        <v>19</v>
      </c>
      <c r="BE10" s="13">
        <v>15</v>
      </c>
      <c r="BF10" s="13">
        <v>65</v>
      </c>
      <c r="BG10" s="13">
        <v>32</v>
      </c>
      <c r="BH10" s="9">
        <f t="shared" si="6"/>
        <v>33</v>
      </c>
      <c r="BI10" s="11" t="s">
        <v>62</v>
      </c>
      <c r="BJ10" s="14">
        <v>419</v>
      </c>
      <c r="BK10" s="13">
        <v>37</v>
      </c>
      <c r="BL10" s="9">
        <f t="shared" si="24"/>
        <v>382</v>
      </c>
      <c r="BM10" s="13">
        <v>256</v>
      </c>
      <c r="BN10" s="13">
        <v>105</v>
      </c>
      <c r="BO10" s="13">
        <v>126</v>
      </c>
      <c r="BP10" s="9">
        <f t="shared" si="7"/>
        <v>89</v>
      </c>
      <c r="BQ10" s="13">
        <v>12</v>
      </c>
      <c r="BR10" s="13">
        <v>17</v>
      </c>
      <c r="BS10" s="13">
        <v>18</v>
      </c>
      <c r="BT10" s="13">
        <v>98</v>
      </c>
      <c r="BU10" s="13">
        <v>36</v>
      </c>
      <c r="BV10" s="9">
        <f t="shared" si="8"/>
        <v>62</v>
      </c>
      <c r="BW10" s="11" t="s">
        <v>62</v>
      </c>
      <c r="BX10" s="14">
        <v>387</v>
      </c>
      <c r="BY10" s="13">
        <v>34</v>
      </c>
      <c r="BZ10" s="9">
        <f t="shared" si="25"/>
        <v>353</v>
      </c>
      <c r="CA10" s="13">
        <v>232</v>
      </c>
      <c r="CB10" s="13">
        <v>104</v>
      </c>
      <c r="CC10" s="13">
        <v>124</v>
      </c>
      <c r="CD10" s="9">
        <f t="shared" si="9"/>
        <v>90</v>
      </c>
      <c r="CE10" s="13">
        <v>7</v>
      </c>
      <c r="CF10" s="13">
        <v>18</v>
      </c>
      <c r="CG10" s="13">
        <v>15</v>
      </c>
      <c r="CH10" s="13">
        <v>80</v>
      </c>
      <c r="CI10" s="13">
        <v>40</v>
      </c>
      <c r="CJ10" s="9">
        <f t="shared" si="10"/>
        <v>40</v>
      </c>
      <c r="CK10" s="11" t="s">
        <v>62</v>
      </c>
      <c r="CL10" s="14">
        <v>414</v>
      </c>
      <c r="CM10" s="13">
        <v>34</v>
      </c>
      <c r="CN10" s="9">
        <f t="shared" si="26"/>
        <v>380</v>
      </c>
      <c r="CO10" s="13">
        <v>270</v>
      </c>
      <c r="CP10" s="13">
        <v>100</v>
      </c>
      <c r="CQ10" s="13">
        <v>123</v>
      </c>
      <c r="CR10" s="9">
        <f t="shared" si="11"/>
        <v>89</v>
      </c>
      <c r="CS10" s="13">
        <v>8</v>
      </c>
      <c r="CT10" s="13">
        <v>19</v>
      </c>
      <c r="CU10" s="13">
        <v>16</v>
      </c>
      <c r="CV10" s="13">
        <v>83</v>
      </c>
      <c r="CW10" s="13">
        <v>46</v>
      </c>
      <c r="CX10" s="9">
        <f t="shared" si="12"/>
        <v>37</v>
      </c>
      <c r="CY10" s="11" t="s">
        <v>62</v>
      </c>
      <c r="CZ10" s="14">
        <v>389</v>
      </c>
      <c r="DA10" s="13">
        <v>34</v>
      </c>
      <c r="DB10" s="9">
        <f t="shared" si="27"/>
        <v>355</v>
      </c>
      <c r="DC10" s="13">
        <v>271</v>
      </c>
      <c r="DD10" s="13">
        <v>109</v>
      </c>
      <c r="DE10" s="13">
        <v>122</v>
      </c>
      <c r="DF10" s="9">
        <f t="shared" si="13"/>
        <v>88</v>
      </c>
      <c r="DG10" s="13">
        <v>8</v>
      </c>
      <c r="DH10" s="13">
        <v>12</v>
      </c>
      <c r="DI10" s="13">
        <v>15</v>
      </c>
      <c r="DJ10" s="13">
        <v>63</v>
      </c>
      <c r="DK10" s="13">
        <v>30</v>
      </c>
      <c r="DL10" s="9">
        <f t="shared" si="14"/>
        <v>33</v>
      </c>
      <c r="DM10" s="11" t="s">
        <v>62</v>
      </c>
      <c r="DN10" s="14">
        <v>418</v>
      </c>
      <c r="DO10" s="13">
        <v>36</v>
      </c>
      <c r="DP10" s="13">
        <f t="shared" si="28"/>
        <v>382</v>
      </c>
      <c r="DQ10" s="13">
        <v>268</v>
      </c>
      <c r="DR10" s="13">
        <v>89</v>
      </c>
      <c r="DS10" s="13">
        <v>124</v>
      </c>
      <c r="DT10" s="9">
        <f t="shared" si="15"/>
        <v>88</v>
      </c>
      <c r="DU10" s="13">
        <v>8</v>
      </c>
      <c r="DV10" s="13">
        <v>16</v>
      </c>
      <c r="DW10" s="13">
        <v>16</v>
      </c>
      <c r="DX10" s="13">
        <v>88</v>
      </c>
      <c r="DY10" s="13">
        <v>45</v>
      </c>
      <c r="DZ10" s="9">
        <f t="shared" si="16"/>
        <v>43</v>
      </c>
      <c r="EA10" s="11" t="s">
        <v>62</v>
      </c>
      <c r="EB10" s="14">
        <v>439</v>
      </c>
      <c r="EC10" s="13">
        <v>36</v>
      </c>
      <c r="ED10" s="13">
        <f t="shared" si="29"/>
        <v>403</v>
      </c>
      <c r="EE10" s="13">
        <v>271</v>
      </c>
      <c r="EF10" s="13">
        <v>94</v>
      </c>
      <c r="EG10" s="13">
        <v>124</v>
      </c>
      <c r="EH10" s="9">
        <f t="shared" si="17"/>
        <v>88</v>
      </c>
      <c r="EI10" s="13">
        <v>12</v>
      </c>
      <c r="EJ10" s="13">
        <v>12</v>
      </c>
      <c r="EK10" s="13">
        <v>21</v>
      </c>
      <c r="EL10" s="13">
        <v>99</v>
      </c>
      <c r="EM10" s="13">
        <v>56</v>
      </c>
      <c r="EN10" s="13">
        <f t="shared" si="18"/>
        <v>43</v>
      </c>
      <c r="EO10" s="11" t="s">
        <v>62</v>
      </c>
      <c r="EP10" s="14">
        <v>434</v>
      </c>
      <c r="EQ10" s="13">
        <v>35</v>
      </c>
      <c r="ER10" s="13">
        <f t="shared" si="30"/>
        <v>399</v>
      </c>
      <c r="ES10" s="13">
        <v>278</v>
      </c>
      <c r="ET10" s="13">
        <v>95</v>
      </c>
      <c r="EU10" s="13">
        <v>129</v>
      </c>
      <c r="EV10" s="13">
        <f t="shared" si="19"/>
        <v>94</v>
      </c>
      <c r="EW10" s="13">
        <v>6</v>
      </c>
      <c r="EX10" s="13">
        <v>12</v>
      </c>
      <c r="EY10" s="13">
        <v>21</v>
      </c>
      <c r="EZ10" s="13">
        <v>97</v>
      </c>
      <c r="FA10" s="13">
        <v>65</v>
      </c>
      <c r="FB10" s="9">
        <f t="shared" si="20"/>
        <v>32</v>
      </c>
      <c r="FC10" s="11" t="s">
        <v>62</v>
      </c>
      <c r="FD10" s="11">
        <f>AVERAGE(T10,AH10,AV10,BJ10,BX10,CL10,CZ10,DN10,EB10,EP10)</f>
        <v>406.9</v>
      </c>
      <c r="FE10" s="11">
        <f t="shared" ref="FE10" si="41">AVERAGE(U10,AI10,AW10,BK10,BY10,CM10,DA10,DO10,EC10,EQ10)</f>
        <v>36.5</v>
      </c>
      <c r="FF10" s="11">
        <f t="shared" ref="FF10" si="42">AVERAGE(V10,AJ10,AX10,BL10,BZ10,CN10,DB10,DP10,ED10,ER10)</f>
        <v>370.4</v>
      </c>
      <c r="FG10" s="11" t="str">
        <f t="shared" si="31"/>
        <v>equal</v>
      </c>
      <c r="FH10" s="11">
        <f t="shared" si="32"/>
        <v>90.1</v>
      </c>
      <c r="FI10" s="11">
        <f t="shared" si="33"/>
        <v>261.3</v>
      </c>
      <c r="FJ10" s="11">
        <f t="shared" si="34"/>
        <v>9.5</v>
      </c>
      <c r="FK10" s="11">
        <f t="shared" si="35"/>
        <v>101.4</v>
      </c>
      <c r="FL10" s="11">
        <f t="shared" si="36"/>
        <v>81.900000000000006</v>
      </c>
      <c r="FM10" s="11">
        <f t="shared" si="37"/>
        <v>17.3</v>
      </c>
      <c r="FN10" s="11">
        <f t="shared" si="38"/>
        <v>15.2</v>
      </c>
    </row>
    <row r="11" spans="1:170">
      <c r="A11" s="17" t="s">
        <v>32</v>
      </c>
      <c r="B11" s="1" t="s">
        <v>130</v>
      </c>
      <c r="C11" t="s">
        <v>33</v>
      </c>
      <c r="D11" t="s">
        <v>65</v>
      </c>
      <c r="E11" s="1">
        <v>11</v>
      </c>
      <c r="F11" s="17" t="s">
        <v>21</v>
      </c>
      <c r="G11" s="1">
        <v>12.1</v>
      </c>
      <c r="H11" s="1">
        <v>11</v>
      </c>
      <c r="I11" s="1">
        <v>256</v>
      </c>
      <c r="J11" s="1">
        <v>64</v>
      </c>
      <c r="K11" s="1">
        <v>839</v>
      </c>
      <c r="L11" s="1">
        <v>53765</v>
      </c>
      <c r="M11" s="1">
        <v>75</v>
      </c>
      <c r="N11" s="1">
        <v>7</v>
      </c>
      <c r="O11" s="1">
        <v>14</v>
      </c>
      <c r="P11" s="1">
        <v>2909</v>
      </c>
      <c r="Q11" s="1">
        <v>49</v>
      </c>
      <c r="R11" s="1">
        <v>4</v>
      </c>
      <c r="S11" s="1">
        <v>462</v>
      </c>
      <c r="T11" s="18">
        <v>428</v>
      </c>
      <c r="U11" s="19">
        <v>164</v>
      </c>
      <c r="V11" s="19">
        <f t="shared" si="0"/>
        <v>264</v>
      </c>
      <c r="W11" s="19">
        <v>285</v>
      </c>
      <c r="X11" s="19">
        <v>95</v>
      </c>
      <c r="Y11" s="19">
        <v>296</v>
      </c>
      <c r="Z11" s="19">
        <f t="shared" si="1"/>
        <v>132</v>
      </c>
      <c r="AA11" s="19">
        <v>14</v>
      </c>
      <c r="AB11" s="19">
        <v>11</v>
      </c>
      <c r="AC11" s="19">
        <v>17</v>
      </c>
      <c r="AD11" s="19">
        <v>70</v>
      </c>
      <c r="AE11" s="19">
        <v>34</v>
      </c>
      <c r="AF11" s="19">
        <f t="shared" si="2"/>
        <v>36</v>
      </c>
      <c r="AG11" s="21" t="s">
        <v>37</v>
      </c>
      <c r="AH11" s="18">
        <v>409</v>
      </c>
      <c r="AI11" s="19">
        <v>119</v>
      </c>
      <c r="AJ11" s="19">
        <f t="shared" si="39"/>
        <v>290</v>
      </c>
      <c r="AK11" s="19">
        <v>268</v>
      </c>
      <c r="AL11" s="19">
        <v>94</v>
      </c>
      <c r="AM11" s="19">
        <v>244</v>
      </c>
      <c r="AN11" s="19">
        <f>AM11-AI11</f>
        <v>125</v>
      </c>
      <c r="AO11" s="19">
        <v>17</v>
      </c>
      <c r="AP11" s="19">
        <v>14</v>
      </c>
      <c r="AQ11" s="19">
        <v>20</v>
      </c>
      <c r="AR11" s="19">
        <v>67</v>
      </c>
      <c r="AS11" s="19">
        <v>32</v>
      </c>
      <c r="AT11" s="19">
        <f t="shared" si="4"/>
        <v>35</v>
      </c>
      <c r="AU11" s="20" t="s">
        <v>37</v>
      </c>
      <c r="AV11" s="18">
        <v>407</v>
      </c>
      <c r="AW11" s="19">
        <v>119</v>
      </c>
      <c r="AX11" s="19">
        <f t="shared" si="23"/>
        <v>288</v>
      </c>
      <c r="AY11" s="19">
        <v>260</v>
      </c>
      <c r="AZ11" s="19">
        <v>96</v>
      </c>
      <c r="BA11" s="19">
        <v>243</v>
      </c>
      <c r="BB11" s="19">
        <f t="shared" si="5"/>
        <v>124</v>
      </c>
      <c r="BC11" s="19">
        <v>18</v>
      </c>
      <c r="BD11" s="19">
        <v>13</v>
      </c>
      <c r="BE11" s="19">
        <v>20</v>
      </c>
      <c r="BF11" s="19">
        <v>75</v>
      </c>
      <c r="BG11" s="19">
        <v>40</v>
      </c>
      <c r="BH11" s="19">
        <f t="shared" si="6"/>
        <v>35</v>
      </c>
      <c r="BI11" s="20" t="s">
        <v>37</v>
      </c>
      <c r="BJ11" s="18">
        <v>402</v>
      </c>
      <c r="BK11" s="19">
        <v>120</v>
      </c>
      <c r="BL11" s="19">
        <f t="shared" si="24"/>
        <v>282</v>
      </c>
      <c r="BM11" s="19">
        <v>259</v>
      </c>
      <c r="BN11" s="19">
        <v>73</v>
      </c>
      <c r="BO11" s="19">
        <v>246</v>
      </c>
      <c r="BP11" s="19">
        <f t="shared" si="7"/>
        <v>126</v>
      </c>
      <c r="BQ11" s="19">
        <v>18</v>
      </c>
      <c r="BR11" s="19">
        <v>16</v>
      </c>
      <c r="BS11" s="19">
        <v>14</v>
      </c>
      <c r="BT11" s="19">
        <v>74</v>
      </c>
      <c r="BU11" s="19">
        <v>35</v>
      </c>
      <c r="BV11" s="19">
        <f t="shared" si="8"/>
        <v>39</v>
      </c>
      <c r="BW11" s="20" t="s">
        <v>37</v>
      </c>
      <c r="BX11" s="18">
        <v>388</v>
      </c>
      <c r="BY11" s="19">
        <v>119</v>
      </c>
      <c r="BZ11" s="19">
        <f t="shared" si="25"/>
        <v>269</v>
      </c>
      <c r="CA11" s="19">
        <v>252</v>
      </c>
      <c r="CB11" s="19">
        <v>77</v>
      </c>
      <c r="CC11" s="19">
        <v>244</v>
      </c>
      <c r="CD11" s="19">
        <f t="shared" si="9"/>
        <v>125</v>
      </c>
      <c r="CE11" s="19">
        <v>11</v>
      </c>
      <c r="CF11" s="19">
        <v>13</v>
      </c>
      <c r="CG11" s="19">
        <v>19</v>
      </c>
      <c r="CH11" s="19">
        <v>71</v>
      </c>
      <c r="CI11" s="19">
        <v>37</v>
      </c>
      <c r="CJ11" s="19">
        <f t="shared" si="10"/>
        <v>34</v>
      </c>
      <c r="CK11" s="20" t="s">
        <v>37</v>
      </c>
      <c r="CL11" s="18">
        <v>426</v>
      </c>
      <c r="CM11" s="19">
        <v>123</v>
      </c>
      <c r="CN11" s="19">
        <f t="shared" si="26"/>
        <v>303</v>
      </c>
      <c r="CO11" s="19">
        <v>256</v>
      </c>
      <c r="CP11" s="19">
        <v>81</v>
      </c>
      <c r="CQ11" s="19">
        <v>247</v>
      </c>
      <c r="CR11" s="19">
        <f t="shared" si="11"/>
        <v>124</v>
      </c>
      <c r="CS11" s="19">
        <v>13</v>
      </c>
      <c r="CT11" s="19">
        <v>16</v>
      </c>
      <c r="CU11" s="19">
        <v>19</v>
      </c>
      <c r="CV11" s="19">
        <v>99</v>
      </c>
      <c r="CW11" s="19">
        <v>37</v>
      </c>
      <c r="CX11" s="19">
        <f t="shared" si="12"/>
        <v>62</v>
      </c>
      <c r="CY11" s="20" t="s">
        <v>37</v>
      </c>
      <c r="CZ11" s="18">
        <v>414</v>
      </c>
      <c r="DA11" s="19">
        <v>117</v>
      </c>
      <c r="DB11" s="19">
        <f t="shared" si="27"/>
        <v>297</v>
      </c>
      <c r="DC11" s="19">
        <v>276</v>
      </c>
      <c r="DD11" s="19">
        <v>86</v>
      </c>
      <c r="DE11" s="19">
        <v>242</v>
      </c>
      <c r="DF11" s="19">
        <f t="shared" si="13"/>
        <v>125</v>
      </c>
      <c r="DG11" s="19">
        <v>13</v>
      </c>
      <c r="DH11" s="19">
        <v>11</v>
      </c>
      <c r="DI11" s="19">
        <v>21</v>
      </c>
      <c r="DJ11" s="19">
        <v>71</v>
      </c>
      <c r="DK11" s="19">
        <v>35</v>
      </c>
      <c r="DL11" s="19">
        <f t="shared" si="14"/>
        <v>36</v>
      </c>
      <c r="DM11" s="20" t="s">
        <v>37</v>
      </c>
      <c r="DN11" s="18">
        <v>499</v>
      </c>
      <c r="DO11" s="19">
        <v>118</v>
      </c>
      <c r="DP11" s="19">
        <f t="shared" si="28"/>
        <v>381</v>
      </c>
      <c r="DQ11" s="19">
        <v>338</v>
      </c>
      <c r="DR11" s="19">
        <v>85</v>
      </c>
      <c r="DS11" s="19">
        <v>244</v>
      </c>
      <c r="DT11" s="19">
        <f t="shared" si="15"/>
        <v>126</v>
      </c>
      <c r="DU11" s="19">
        <v>17</v>
      </c>
      <c r="DV11" s="19">
        <v>16</v>
      </c>
      <c r="DW11" s="19">
        <v>16</v>
      </c>
      <c r="DX11" s="19">
        <v>85</v>
      </c>
      <c r="DY11" s="19">
        <v>44</v>
      </c>
      <c r="DZ11" s="19">
        <f t="shared" si="16"/>
        <v>41</v>
      </c>
      <c r="EA11" s="20" t="s">
        <v>37</v>
      </c>
      <c r="EB11" s="18">
        <v>385</v>
      </c>
      <c r="EC11" s="19">
        <v>119</v>
      </c>
      <c r="ED11" s="19">
        <f t="shared" si="29"/>
        <v>266</v>
      </c>
      <c r="EE11" s="19">
        <v>258</v>
      </c>
      <c r="EF11" s="19">
        <v>83</v>
      </c>
      <c r="EG11" s="19">
        <v>247</v>
      </c>
      <c r="EH11" s="19">
        <f t="shared" si="17"/>
        <v>128</v>
      </c>
      <c r="EI11" s="19">
        <v>14</v>
      </c>
      <c r="EJ11" s="19">
        <v>12</v>
      </c>
      <c r="EK11" s="19">
        <v>16</v>
      </c>
      <c r="EL11" s="19">
        <v>64</v>
      </c>
      <c r="EM11" s="19">
        <v>30</v>
      </c>
      <c r="EN11" s="19">
        <f t="shared" si="18"/>
        <v>34</v>
      </c>
      <c r="EO11" s="20" t="s">
        <v>37</v>
      </c>
      <c r="EP11" s="18">
        <v>440</v>
      </c>
      <c r="EQ11" s="19">
        <v>121</v>
      </c>
      <c r="ER11" s="19">
        <f t="shared" si="30"/>
        <v>319</v>
      </c>
      <c r="ES11" s="19">
        <v>295</v>
      </c>
      <c r="ET11" s="19">
        <v>100</v>
      </c>
      <c r="EU11" s="19">
        <v>246</v>
      </c>
      <c r="EV11" s="19">
        <f t="shared" si="19"/>
        <v>125</v>
      </c>
      <c r="EW11" s="19">
        <v>13</v>
      </c>
      <c r="EX11" s="19">
        <v>12</v>
      </c>
      <c r="EY11" s="19">
        <v>16</v>
      </c>
      <c r="EZ11" s="19">
        <v>84</v>
      </c>
      <c r="FA11" s="19">
        <v>39</v>
      </c>
      <c r="FB11" s="19">
        <f t="shared" si="20"/>
        <v>45</v>
      </c>
      <c r="FC11" s="20" t="s">
        <v>37</v>
      </c>
      <c r="FD11" s="22">
        <f>AVERAGE(T11,AH11,AV11,BJ11,BX11,CL11,CZ11,DN11,EB11,EP11)</f>
        <v>419.8</v>
      </c>
      <c r="FE11" s="22">
        <f>AVERAGE(U11,AI11,AW11,BK11,BY11,CM11,DA11,DO11,EC11,EQ11)</f>
        <v>123.9</v>
      </c>
      <c r="FF11" s="22">
        <f>AVERAGE(V11,AJ11,AX11,BL11,BZ11,CN11,DB11,DP11,ED11,ER11)</f>
        <v>295.89999999999998</v>
      </c>
      <c r="FG11" s="22" t="str">
        <f t="shared" si="31"/>
        <v>equal</v>
      </c>
      <c r="FH11" s="22">
        <f t="shared" si="32"/>
        <v>126</v>
      </c>
      <c r="FI11" s="22">
        <f t="shared" si="33"/>
        <v>274.7</v>
      </c>
      <c r="FJ11" s="22">
        <f t="shared" si="34"/>
        <v>14.8</v>
      </c>
      <c r="FK11" s="22">
        <f t="shared" si="35"/>
        <v>87</v>
      </c>
      <c r="FL11" s="22">
        <f t="shared" si="36"/>
        <v>76</v>
      </c>
      <c r="FM11" s="22">
        <f t="shared" si="37"/>
        <v>17.8</v>
      </c>
      <c r="FN11" s="22">
        <f t="shared" si="38"/>
        <v>13.4</v>
      </c>
    </row>
    <row r="12" spans="1:170">
      <c r="FC12" s="23" t="s">
        <v>97</v>
      </c>
      <c r="FD12" s="24">
        <f t="shared" ref="FD12:FF12" si="43">AVERAGE(FD5:FD11)</f>
        <v>722.05714285714282</v>
      </c>
      <c r="FE12" s="24">
        <f t="shared" si="43"/>
        <v>213.18571428571431</v>
      </c>
      <c r="FF12" s="24">
        <f t="shared" si="43"/>
        <v>508.87142857142857</v>
      </c>
      <c r="FG12" s="24" t="s">
        <v>113</v>
      </c>
      <c r="FH12" s="24">
        <f t="shared" ref="FH12:FN12" si="44">AVERAGE(FH5:FH11)</f>
        <v>197.32857142857139</v>
      </c>
      <c r="FI12" s="24">
        <f t="shared" si="44"/>
        <v>377.35714285714283</v>
      </c>
      <c r="FJ12" s="24">
        <f t="shared" si="44"/>
        <v>146.18571428571428</v>
      </c>
      <c r="FK12" s="24">
        <f t="shared" si="44"/>
        <v>142.65714285714284</v>
      </c>
      <c r="FL12" s="24">
        <f t="shared" si="44"/>
        <v>82.7</v>
      </c>
      <c r="FM12" s="24">
        <f t="shared" si="44"/>
        <v>18.75714285714286</v>
      </c>
      <c r="FN12" s="24">
        <f t="shared" si="44"/>
        <v>15.814285714285715</v>
      </c>
    </row>
  </sheetData>
  <mergeCells count="11">
    <mergeCell ref="T3:AG3"/>
    <mergeCell ref="AH3:AU3"/>
    <mergeCell ref="AV3:BI3"/>
    <mergeCell ref="BJ3:BW3"/>
    <mergeCell ref="FD3:FN3"/>
    <mergeCell ref="EP3:FC3"/>
    <mergeCell ref="BX3:CK3"/>
    <mergeCell ref="CL3:CY3"/>
    <mergeCell ref="CZ3:DM3"/>
    <mergeCell ref="DN3:EA3"/>
    <mergeCell ref="EB3:EO3"/>
  </mergeCells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DB4D-C211-4325-8C6A-EF547016896B}">
  <dimension ref="A1:H8"/>
  <sheetViews>
    <sheetView zoomScaleNormal="100" workbookViewId="0">
      <selection activeCell="J5" sqref="J5"/>
    </sheetView>
  </sheetViews>
  <sheetFormatPr baseColWidth="10" defaultRowHeight="15"/>
  <cols>
    <col min="1" max="1" width="37.7109375" customWidth="1"/>
    <col min="6" max="6" width="16.28515625" customWidth="1"/>
    <col min="7" max="7" width="11.7109375" bestFit="1" customWidth="1"/>
  </cols>
  <sheetData>
    <row r="1" spans="1:8">
      <c r="A1" s="16" t="s">
        <v>44</v>
      </c>
      <c r="B1" s="16" t="s">
        <v>99</v>
      </c>
      <c r="C1" s="16" t="s">
        <v>114</v>
      </c>
      <c r="D1" s="16" t="s">
        <v>115</v>
      </c>
      <c r="E1" s="16" t="s">
        <v>116</v>
      </c>
      <c r="F1" s="16" t="s">
        <v>117</v>
      </c>
      <c r="G1" s="16" t="s">
        <v>118</v>
      </c>
      <c r="H1" s="16" t="s">
        <v>119</v>
      </c>
    </row>
    <row r="2" spans="1:8">
      <c r="A2" t="str">
        <f>Datas!A5</f>
        <v>Signal Android</v>
      </c>
      <c r="B2">
        <f>Datas!FD5/60</f>
        <v>29.826666666666664</v>
      </c>
      <c r="C2">
        <f>MIN(Datas!T5,Datas!AH5,Datas!AV5,Datas!BJ4,Datas!BX5,Datas!CL5,Datas!CZ5,Datas!DN5,Datas!EB5,Datas!EP5)/60</f>
        <v>25.916666666666668</v>
      </c>
      <c r="D2">
        <f>MAX(Datas!T5,Datas!AH5,Datas!AV5,Datas!BJ4,Datas!BX5,Datas!CL5,Datas!CZ5,Datas!DN5,Datas!EB5,Datas!EP5)/60</f>
        <v>35.733333333333334</v>
      </c>
      <c r="E2">
        <f>Datas!FF5/60</f>
        <v>20.05</v>
      </c>
      <c r="F2">
        <f>Datas!FE5/60</f>
        <v>9.7766666666666673</v>
      </c>
      <c r="G2">
        <f>_xlfn.STDEV.S(Datas!T5,Datas!AH5,Datas!AV5,Datas!BJ4,Datas!BX5,Datas!CL5,Datas!CZ5,Datas!DN5,Datas!EB5,Datas!EP5)/60</f>
        <v>4.1751312169813728</v>
      </c>
      <c r="H2">
        <f>G2/(B2)*100</f>
        <v>13.997981281788244</v>
      </c>
    </row>
    <row r="3" spans="1:8">
      <c r="A3" t="str">
        <f>Datas!A6</f>
        <v>K-9 Mail (Thunderbird Android)</v>
      </c>
      <c r="B3">
        <f>Datas!FD6/60</f>
        <v>14.74</v>
      </c>
      <c r="C3">
        <f>MIN(Datas!T6,Datas!AH6,Datas!AV6,Datas!BJ5,Datas!BX6,Datas!CL6,Datas!CZ6,Datas!DN6,Datas!EB6,Datas!EP6)/60</f>
        <v>14</v>
      </c>
      <c r="D3">
        <f>MAX(Datas!T6,Datas!AH6,Datas!AV6,Datas!BJ5,Datas!BX6,Datas!CL6,Datas!CZ6,Datas!DN6,Datas!EB6,Datas!EP6)/60</f>
        <v>38.133333333333333</v>
      </c>
      <c r="E3">
        <f>Datas!FF6/60</f>
        <v>12.016666666666667</v>
      </c>
      <c r="F3">
        <f>Datas!FE6/60</f>
        <v>2.7233333333333336</v>
      </c>
      <c r="G3">
        <f>_xlfn.STDEV.S(Datas!T6,Datas!AH6,Datas!AV6,Datas!BJ5,Datas!BX6,Datas!CL6,Datas!CZ6,Datas!DN6,Datas!EB6,Datas!EP6)/60</f>
        <v>7.4299452501181396</v>
      </c>
      <c r="H3">
        <f t="shared" ref="H3:H8" si="0">G3/(B3)*100</f>
        <v>50.406684193474483</v>
      </c>
    </row>
    <row r="4" spans="1:8">
      <c r="A4" t="str">
        <f>Datas!A7</f>
        <v>AntennaPod</v>
      </c>
      <c r="B4">
        <f>Datas!FD7/60</f>
        <v>9.5933333333333337</v>
      </c>
      <c r="C4">
        <f>MIN(Datas!T7,Datas!AH7,Datas!AV7,Datas!BJ6,Datas!BX7,Datas!CL7,Datas!CZ7,Datas!DN7,Datas!EB7,Datas!EP7)/60</f>
        <v>9.1999999999999993</v>
      </c>
      <c r="D4">
        <f>MAX(Datas!T7,Datas!AH7,Datas!AV7,Datas!BJ6,Datas!BX7,Datas!CL7,Datas!CZ7,Datas!DN7,Datas!EB7,Datas!EP7)/60</f>
        <v>15.433333333333334</v>
      </c>
      <c r="E4">
        <f>Datas!FF7/60</f>
        <v>4.9266666666666667</v>
      </c>
      <c r="F4">
        <f>Datas!FE7/60</f>
        <v>4.666666666666667</v>
      </c>
      <c r="G4">
        <f>_xlfn.STDEV.S(Datas!T7,Datas!AH7,Datas!AV7,Datas!BJ6,Datas!BX7,Datas!CL7,Datas!CZ7,Datas!DN7,Datas!EB7,Datas!EP7)/60</f>
        <v>1.8855395141071047</v>
      </c>
      <c r="H4">
        <f t="shared" si="0"/>
        <v>19.654685692568847</v>
      </c>
    </row>
    <row r="5" spans="1:8">
      <c r="A5" t="str">
        <f>Datas!A8</f>
        <v>Markor</v>
      </c>
      <c r="B5">
        <f>Datas!FD8/60</f>
        <v>7.2866666666666662</v>
      </c>
      <c r="C5">
        <f>MIN(Datas!T8,Datas!AH8,Datas!AV8,Datas!BJ7,Datas!BX8,Datas!CL8,Datas!CZ8,Datas!DN8,Datas!EB8,Datas!EP8)/60</f>
        <v>6.4666666666666668</v>
      </c>
      <c r="D5">
        <f>MAX(Datas!T8,Datas!AH8,Datas!AV8,Datas!BJ7,Datas!BX8,Datas!CL8,Datas!CZ8,Datas!DN8,Datas!EB8,Datas!EP8)/60</f>
        <v>9.4</v>
      </c>
      <c r="E5">
        <f>Datas!FF8/60</f>
        <v>5</v>
      </c>
      <c r="F5">
        <f>Datas!FE8/60</f>
        <v>2.2866666666666666</v>
      </c>
      <c r="G5">
        <f>_xlfn.STDEV.S(Datas!T8,Datas!AH8,Datas!AV8,Datas!BJ7,Datas!BX8,Datas!CL8,Datas!CZ8,Datas!DN8,Datas!EB8,Datas!EP8)/60</f>
        <v>1.0037291578021559</v>
      </c>
      <c r="H5">
        <f t="shared" si="0"/>
        <v>13.7748740777972</v>
      </c>
    </row>
    <row r="6" spans="1:8">
      <c r="A6" t="str">
        <f>Datas!A9</f>
        <v>Fdroidclient</v>
      </c>
      <c r="B6">
        <f>Datas!FD9/60</f>
        <v>9.0149999999999988</v>
      </c>
      <c r="C6">
        <f>MIN(Datas!T9,Datas!AH9,Datas!AV9,Datas!BJ8,Datas!BX9,Datas!CL9,Datas!CZ9,Datas!DN9,Datas!EB9,Datas!EP9)/60</f>
        <v>7.05</v>
      </c>
      <c r="D6">
        <f>MAX(Datas!T9,Datas!AH9,Datas!AV9,Datas!BJ8,Datas!BX9,Datas!CL9,Datas!CZ9,Datas!DN9,Datas!EB9,Datas!EP9)/60</f>
        <v>11.416666666666666</v>
      </c>
      <c r="E6">
        <f>Datas!FF9/60</f>
        <v>6.27</v>
      </c>
      <c r="F6">
        <f>Datas!FE9/60</f>
        <v>2.7449999999999997</v>
      </c>
      <c r="G6">
        <f>_xlfn.STDEV.S(Datas!T9,Datas!AH9,Datas!AV9,Datas!BJ8,Datas!BX9,Datas!CL9,Datas!CZ9,Datas!DN9,Datas!EB9,Datas!EP9)/60</f>
        <v>1.489365595326819</v>
      </c>
      <c r="H6">
        <f t="shared" si="0"/>
        <v>16.520971661972482</v>
      </c>
    </row>
    <row r="7" spans="1:8">
      <c r="A7" t="str">
        <f>Datas!A10</f>
        <v>Damn-Vulnerable-Android-Components</v>
      </c>
      <c r="B7">
        <f>Datas!FD10/60</f>
        <v>6.7816666666666663</v>
      </c>
      <c r="C7">
        <f>MIN(Datas!T10,Datas!AH10,Datas!AV10,Datas!BJ9,Datas!BX10,Datas!CL10,Datas!CZ10,Datas!DN10,Datas!EB10,Datas!EP10)/60</f>
        <v>6.2</v>
      </c>
      <c r="D7">
        <f>MAX(Datas!T10,Datas!AH10,Datas!AV10,Datas!BJ9,Datas!BX10,Datas!CL10,Datas!CZ10,Datas!DN10,Datas!EB10,Datas!EP10)/60</f>
        <v>10.199999999999999</v>
      </c>
      <c r="E7">
        <f>Datas!FF10/60</f>
        <v>6.1733333333333329</v>
      </c>
      <c r="F7">
        <f>Datas!FE10/60</f>
        <v>0.60833333333333328</v>
      </c>
      <c r="G7">
        <f>_xlfn.STDEV.S(Datas!T10,Datas!AH10,Datas!AV10,Datas!BJ9,Datas!BX10,Datas!CL10,Datas!CZ10,Datas!DN10,Datas!EB10,Datas!EP10)/60</f>
        <v>1.1435217423856203</v>
      </c>
      <c r="H7">
        <f t="shared" si="0"/>
        <v>16.861957371132274</v>
      </c>
    </row>
    <row r="8" spans="1:8">
      <c r="A8" t="str">
        <f>Datas!A11</f>
        <v>OpenMRS</v>
      </c>
      <c r="B8">
        <f>Datas!FD11/60</f>
        <v>6.996666666666667</v>
      </c>
      <c r="C8">
        <f>MIN(Datas!T11,Datas!AH11,Datas!AV11,Datas!BJ10,Datas!BX11,Datas!CL11,Datas!CZ11,Datas!DN11,Datas!EB11,Datas!EP11)/60</f>
        <v>6.416666666666667</v>
      </c>
      <c r="D8">
        <f>MAX(Datas!T11,Datas!AH11,Datas!AV11,Datas!BJ10,Datas!BX11,Datas!CL11,Datas!CZ11,Datas!DN11,Datas!EB11,Datas!EP11)/60</f>
        <v>8.3166666666666664</v>
      </c>
      <c r="E8">
        <f>Datas!FF11/60</f>
        <v>4.9316666666666666</v>
      </c>
      <c r="F8">
        <f>Datas!FE11/60</f>
        <v>2.0649999999999999</v>
      </c>
      <c r="G8">
        <f>_xlfn.STDEV.S(Datas!T11,Datas!AH11,Datas!AV11,Datas!BJ10,Datas!BX11,Datas!CL11,Datas!CZ11,Datas!DN11,Datas!EB11,Datas!EP11)/60</f>
        <v>0.53559992900542597</v>
      </c>
      <c r="H8">
        <f t="shared" si="0"/>
        <v>7.6550728299965591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7A93-1C1C-411C-8BB4-C1B5023E23E2}">
  <dimension ref="A1:B9"/>
  <sheetViews>
    <sheetView zoomScale="145" zoomScaleNormal="145" workbookViewId="0">
      <selection activeCell="M7" sqref="M7"/>
    </sheetView>
  </sheetViews>
  <sheetFormatPr baseColWidth="10" defaultRowHeight="15"/>
  <cols>
    <col min="1" max="1" width="15.5703125" customWidth="1"/>
  </cols>
  <sheetData>
    <row r="1" spans="1:2">
      <c r="A1" s="16" t="s">
        <v>44</v>
      </c>
      <c r="B1" s="16" t="s">
        <v>99</v>
      </c>
    </row>
    <row r="2" spans="1:2">
      <c r="A2" t="s">
        <v>82</v>
      </c>
      <c r="B2">
        <f>Datas!FH12</f>
        <v>197.32857142857139</v>
      </c>
    </row>
    <row r="3" spans="1:2">
      <c r="A3" t="s">
        <v>83</v>
      </c>
      <c r="B3">
        <f>Datas!FI12</f>
        <v>377.35714285714283</v>
      </c>
    </row>
    <row r="4" spans="1:2">
      <c r="A4" t="s">
        <v>84</v>
      </c>
      <c r="B4">
        <f>Datas!FE12</f>
        <v>213.18571428571431</v>
      </c>
    </row>
    <row r="5" spans="1:2">
      <c r="A5" t="s">
        <v>85</v>
      </c>
      <c r="B5">
        <f>Datas!FJ12</f>
        <v>146.18571428571428</v>
      </c>
    </row>
    <row r="6" spans="1:2">
      <c r="A6" t="s">
        <v>86</v>
      </c>
      <c r="B6">
        <f>Datas!FK12</f>
        <v>142.65714285714284</v>
      </c>
    </row>
    <row r="7" spans="1:2">
      <c r="A7" t="s">
        <v>87</v>
      </c>
      <c r="B7">
        <f>Datas!FL12</f>
        <v>82.7</v>
      </c>
    </row>
    <row r="8" spans="1:2">
      <c r="A8" t="s">
        <v>88</v>
      </c>
      <c r="B8">
        <f>Datas!FM12</f>
        <v>18.75714285714286</v>
      </c>
    </row>
    <row r="9" spans="1:2">
      <c r="A9" t="s">
        <v>89</v>
      </c>
      <c r="B9">
        <f>Datas!FN12</f>
        <v>15.814285714285715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181F-4CD6-4C05-8D6F-4C0F78BDF1E3}">
  <dimension ref="A1:C8"/>
  <sheetViews>
    <sheetView zoomScale="160" zoomScaleNormal="160" workbookViewId="0">
      <selection activeCell="B14" sqref="B14"/>
    </sheetView>
  </sheetViews>
  <sheetFormatPr baseColWidth="10" defaultRowHeight="15"/>
  <cols>
    <col min="1" max="1" width="38.85546875" customWidth="1"/>
    <col min="2" max="2" width="13.7109375" customWidth="1"/>
    <col min="3" max="3" width="16.28515625" customWidth="1"/>
  </cols>
  <sheetData>
    <row r="1" spans="1:3">
      <c r="A1" s="16" t="s">
        <v>44</v>
      </c>
      <c r="B1" s="16" t="s">
        <v>99</v>
      </c>
      <c r="C1" s="16" t="s">
        <v>112</v>
      </c>
    </row>
    <row r="2" spans="1:3">
      <c r="A2" t="str">
        <f>Datas!A5</f>
        <v>Signal Android</v>
      </c>
      <c r="B2">
        <f>Datas!FD5/60</f>
        <v>29.826666666666664</v>
      </c>
      <c r="C2">
        <f>Datas!G5</f>
        <v>2360</v>
      </c>
    </row>
    <row r="3" spans="1:3">
      <c r="A3" t="str">
        <f>Datas!A6</f>
        <v>K-9 Mail (Thunderbird Android)</v>
      </c>
      <c r="B3">
        <f>Datas!FD6/60</f>
        <v>14.74</v>
      </c>
      <c r="C3">
        <f>Datas!G6</f>
        <v>248</v>
      </c>
    </row>
    <row r="4" spans="1:3">
      <c r="A4" t="str">
        <f>Datas!A7</f>
        <v>AntennaPod</v>
      </c>
      <c r="B4">
        <f>Datas!FD7/60</f>
        <v>9.5933333333333337</v>
      </c>
      <c r="C4">
        <f>Datas!G7</f>
        <v>134</v>
      </c>
    </row>
    <row r="5" spans="1:3">
      <c r="A5" t="str">
        <f>Datas!A8</f>
        <v>Markor</v>
      </c>
      <c r="B5">
        <f>Datas!FD8/60</f>
        <v>7.2866666666666662</v>
      </c>
      <c r="C5">
        <f>Datas!G8</f>
        <v>58.2</v>
      </c>
    </row>
    <row r="6" spans="1:3">
      <c r="A6" t="str">
        <f>Datas!A9</f>
        <v>Fdroidclient</v>
      </c>
      <c r="B6">
        <f>Datas!FD9/60</f>
        <v>9.0149999999999988</v>
      </c>
      <c r="C6">
        <f>Datas!G9</f>
        <v>79.7</v>
      </c>
    </row>
    <row r="7" spans="1:3">
      <c r="A7" t="str">
        <f>Datas!A10</f>
        <v>Damn-Vulnerable-Android-Components</v>
      </c>
      <c r="B7">
        <f>Datas!FD10/60</f>
        <v>6.7816666666666663</v>
      </c>
      <c r="C7">
        <f>Datas!G10</f>
        <v>37.299999999999997</v>
      </c>
    </row>
    <row r="8" spans="1:3">
      <c r="A8" t="str">
        <f>Datas!A11</f>
        <v>OpenMRS</v>
      </c>
      <c r="B8">
        <f>Datas!FD11/60</f>
        <v>6.996666666666667</v>
      </c>
      <c r="C8">
        <f>Datas!G11</f>
        <v>12.1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B3DA-5059-482C-8666-A1F90B095773}">
  <dimension ref="A1:H8"/>
  <sheetViews>
    <sheetView workbookViewId="0">
      <selection activeCell="J6" sqref="J6"/>
    </sheetView>
  </sheetViews>
  <sheetFormatPr baseColWidth="10" defaultRowHeight="15"/>
  <cols>
    <col min="1" max="1" width="32.7109375" customWidth="1"/>
    <col min="2" max="2" width="14.7109375" customWidth="1"/>
    <col min="3" max="3" width="42.42578125" customWidth="1"/>
    <col min="4" max="4" width="19.42578125" customWidth="1"/>
    <col min="5" max="5" width="26.85546875" customWidth="1"/>
    <col min="6" max="6" width="20" customWidth="1"/>
    <col min="7" max="7" width="17.5703125" customWidth="1"/>
    <col min="9" max="9" width="23.5703125" customWidth="1"/>
    <col min="10" max="10" width="28" customWidth="1"/>
  </cols>
  <sheetData>
    <row r="1" spans="1:8">
      <c r="A1" s="16" t="s">
        <v>44</v>
      </c>
      <c r="B1" s="16" t="s">
        <v>90</v>
      </c>
      <c r="C1" s="16" t="s">
        <v>111</v>
      </c>
      <c r="D1" s="16" t="s">
        <v>98</v>
      </c>
      <c r="E1" s="16" t="s">
        <v>91</v>
      </c>
      <c r="F1" s="16" t="s">
        <v>92</v>
      </c>
      <c r="G1" s="16" t="s">
        <v>93</v>
      </c>
      <c r="H1" s="16" t="s">
        <v>110</v>
      </c>
    </row>
    <row r="2" spans="1:8">
      <c r="A2" t="str">
        <f>Datas!A5</f>
        <v>Signal Android</v>
      </c>
      <c r="B2">
        <f>Datas!FD5/60</f>
        <v>29.826666666666664</v>
      </c>
      <c r="C2">
        <f>(MAX(Datas!FI5,Datas!FK5,(Datas!FE5+Datas!FH5))/60)/$B2*100</f>
        <v>64.15958873491283</v>
      </c>
      <c r="D2">
        <f>(Datas!FJ5/60)/$B2*100</f>
        <v>28.257711220384447</v>
      </c>
      <c r="E2">
        <f>(Datas!FN5/60)/$B2*100</f>
        <v>0.97787215020116236</v>
      </c>
      <c r="F2">
        <f>(Datas!FM5/60)/$B2*100</f>
        <v>1.0728654447921324</v>
      </c>
      <c r="G2">
        <f>(Datas!FL5/60)/$B2*100</f>
        <v>4.4143942780509615</v>
      </c>
      <c r="H2">
        <f>100-SUM(C2:G2)</f>
        <v>1.117568171658462</v>
      </c>
    </row>
    <row r="3" spans="1:8">
      <c r="A3" t="str">
        <f>Datas!A6</f>
        <v>K-9 Mail (Thunderbird Android)</v>
      </c>
      <c r="B3">
        <f>Datas!FD6/60</f>
        <v>14.74</v>
      </c>
      <c r="C3">
        <f>(MAX(Datas!FI6,Datas!FK6,(Datas!FE6+Datas!FH6))/60)/$B3*100</f>
        <v>37.833559475350519</v>
      </c>
      <c r="D3">
        <f>(Datas!FJ6/60)/$B3*100</f>
        <v>46.359113523292628</v>
      </c>
      <c r="E3">
        <f>(Datas!FN6/60)/$B3*100</f>
        <v>2.1257349615558572</v>
      </c>
      <c r="F3">
        <f>(Datas!FM6/60)/$B3*100</f>
        <v>2.1709633649932161</v>
      </c>
      <c r="G3">
        <f>(Datas!FL6/60)/$B3*100</f>
        <v>9.2265943012211658</v>
      </c>
      <c r="H3">
        <f t="shared" ref="H3:H8" si="0">100-SUM(C3:G3)</f>
        <v>2.2840343735866071</v>
      </c>
    </row>
    <row r="4" spans="1:8">
      <c r="A4" t="str">
        <f>Datas!A7</f>
        <v>AntennaPod</v>
      </c>
      <c r="B4">
        <f>Datas!FD7/60</f>
        <v>9.5933333333333337</v>
      </c>
      <c r="C4">
        <f>(MAX(Datas!FI7,Datas!FK7,(Datas!FE7+Datas!FH7))/60)/$B4*100</f>
        <v>72.168172341904096</v>
      </c>
      <c r="D4">
        <f>(Datas!FJ7/60)/$B4*100</f>
        <v>4.569145239749826</v>
      </c>
      <c r="E4">
        <f>(Datas!FN7/60)/$B4*100</f>
        <v>2.5538568450312713</v>
      </c>
      <c r="F4">
        <f>(Datas!FM7/60)/$B4*100</f>
        <v>3.3877692842251559</v>
      </c>
      <c r="G4">
        <f>(Datas!FL7/60)/$B4*100</f>
        <v>13.603196664350243</v>
      </c>
      <c r="H4">
        <f t="shared" si="0"/>
        <v>3.7178596247393898</v>
      </c>
    </row>
    <row r="5" spans="1:8">
      <c r="A5" t="str">
        <f>Datas!A8</f>
        <v>Markor</v>
      </c>
      <c r="B5">
        <f>Datas!FD8/60</f>
        <v>7.2866666666666662</v>
      </c>
      <c r="C5">
        <f>(MAX(Datas!FI8,Datas!FK8,(Datas!FE8+Datas!FH8))/60)/$B5*100</f>
        <v>60.178408051235145</v>
      </c>
      <c r="D5">
        <f>(Datas!FJ8/60)/$B5*100</f>
        <v>4.4373284537968889</v>
      </c>
      <c r="E5">
        <f>(Datas!FN8/60)/$B5*100</f>
        <v>3.5452881976212263</v>
      </c>
      <c r="F5">
        <f>(Datas!FM8/60)/$B5*100</f>
        <v>4.3687099725526082</v>
      </c>
      <c r="G5">
        <f>(Datas!FL8/60)/$B5*100</f>
        <v>21.317474839890213</v>
      </c>
      <c r="H5">
        <f t="shared" si="0"/>
        <v>6.1527904849039174</v>
      </c>
    </row>
    <row r="6" spans="1:8">
      <c r="A6" t="str">
        <f>Datas!A9</f>
        <v>Fdroidclient</v>
      </c>
      <c r="B6">
        <f>Datas!FD9/60</f>
        <v>9.0149999999999988</v>
      </c>
      <c r="C6">
        <f>(MAX(Datas!FI9,Datas!FK9,(Datas!FE9+Datas!FH9))/60)/$B6*100</f>
        <v>64.20780181179515</v>
      </c>
      <c r="D6">
        <f>(Datas!FJ9/60)/$B6*100</f>
        <v>6.9513773340728431</v>
      </c>
      <c r="E6">
        <f>(Datas!FN9/60)/$B6*100</f>
        <v>2.8840820854132008</v>
      </c>
      <c r="F6">
        <f>(Datas!FM9/60)/$B6*100</f>
        <v>3.5496394897393237</v>
      </c>
      <c r="G6">
        <f>(Datas!FL9/60)/$B6*100</f>
        <v>16.435570345720098</v>
      </c>
      <c r="H6">
        <f t="shared" si="0"/>
        <v>5.9715289332593926</v>
      </c>
    </row>
    <row r="7" spans="1:8">
      <c r="A7" t="str">
        <f>Datas!A10</f>
        <v>Damn-Vulnerable-Android-Components</v>
      </c>
      <c r="B7">
        <f>Datas!FD10/60</f>
        <v>6.7816666666666663</v>
      </c>
      <c r="C7">
        <f>(MAX(Datas!FI10,Datas!FK10,(Datas!FE10+Datas!FH10))/60)/$B7*100</f>
        <v>64.217252396166145</v>
      </c>
      <c r="D7">
        <f>(Datas!FJ10/60)/$B7*100</f>
        <v>2.3347259768985009</v>
      </c>
      <c r="E7">
        <f>(Datas!FN10/60)/$B7*100</f>
        <v>3.7355615630376011</v>
      </c>
      <c r="F7">
        <f>(Datas!FM10/60)/$B7*100</f>
        <v>4.2516588842467433</v>
      </c>
      <c r="G7">
        <f>(Datas!FL10/60)/$B7*100</f>
        <v>20.12779552715655</v>
      </c>
      <c r="H7">
        <f t="shared" si="0"/>
        <v>5.3330056524944638</v>
      </c>
    </row>
    <row r="8" spans="1:8">
      <c r="A8" t="str">
        <f>Datas!A11</f>
        <v>OpenMRS</v>
      </c>
      <c r="B8">
        <f>Datas!FD11/60</f>
        <v>6.996666666666667</v>
      </c>
      <c r="C8">
        <f>(MAX(Datas!FI11,Datas!FK11,(Datas!FE11+Datas!FH11))/60)/$B8*100</f>
        <v>65.435921867555962</v>
      </c>
      <c r="D8">
        <f>(Datas!FJ11/60)/$B8*100</f>
        <v>3.5254883277751308</v>
      </c>
      <c r="E8">
        <f>(Datas!FN11/60)/$B8*100</f>
        <v>3.1919961886612667</v>
      </c>
      <c r="F8">
        <f>(Datas!FM11/60)/$B8*100</f>
        <v>4.2401143401619823</v>
      </c>
      <c r="G8">
        <f>(Datas!FL11/60)/$B8*100</f>
        <v>18.103858980466885</v>
      </c>
      <c r="H8">
        <f t="shared" si="0"/>
        <v>5.5026202953787759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D7BD-0375-48E7-99C5-DFF4D1DB57B5}">
  <dimension ref="A1:E202"/>
  <sheetViews>
    <sheetView workbookViewId="0">
      <selection activeCell="G8" sqref="G8"/>
    </sheetView>
  </sheetViews>
  <sheetFormatPr baseColWidth="10" defaultRowHeight="15"/>
  <cols>
    <col min="1" max="1" width="35.85546875" customWidth="1"/>
    <col min="3" max="3" width="18.85546875" customWidth="1"/>
    <col min="4" max="4" width="15" customWidth="1"/>
    <col min="5" max="5" width="13.5703125" customWidth="1"/>
  </cols>
  <sheetData>
    <row r="1" spans="1:5">
      <c r="A1" s="31" t="s">
        <v>53</v>
      </c>
      <c r="B1" s="31"/>
      <c r="C1" s="31"/>
      <c r="D1" s="31"/>
      <c r="E1" s="31"/>
    </row>
    <row r="2" spans="1:5">
      <c r="A2" s="25" t="s">
        <v>44</v>
      </c>
      <c r="B2" s="25" t="s">
        <v>99</v>
      </c>
      <c r="C2" s="25" t="s">
        <v>105</v>
      </c>
      <c r="D2" s="25" t="s">
        <v>101</v>
      </c>
      <c r="E2" s="25" t="s">
        <v>102</v>
      </c>
    </row>
    <row r="3" spans="1:5">
      <c r="A3" s="17" t="str">
        <f>Datas!A5</f>
        <v>Signal Android</v>
      </c>
      <c r="B3" s="17">
        <f>Datas!FD5</f>
        <v>1789.6</v>
      </c>
      <c r="C3" s="17">
        <f>Datas!S5</f>
        <v>12500</v>
      </c>
      <c r="D3" s="17">
        <f>_xlfn.RANK.AVG(C3,$C$3:$C$9,1)</f>
        <v>7</v>
      </c>
      <c r="E3" s="17">
        <f>_xlfn.RANK.AVG(B3,$B$3:$B$9,1)</f>
        <v>7</v>
      </c>
    </row>
    <row r="4" spans="1:5">
      <c r="A4" s="8" t="str">
        <f>Datas!A6</f>
        <v>K-9 Mail (Thunderbird Android)</v>
      </c>
      <c r="B4" s="8">
        <f>Datas!FD6</f>
        <v>884.4</v>
      </c>
      <c r="C4" s="8">
        <f>Datas!S6</f>
        <v>1183</v>
      </c>
      <c r="D4" s="8">
        <f t="shared" ref="D4:D9" si="0">_xlfn.RANK.AVG(C4,$C$3:$C$9,1)</f>
        <v>6</v>
      </c>
      <c r="E4" s="8">
        <f t="shared" ref="E4:E9" si="1">_xlfn.RANK.AVG(B4,$B$3:$B$9,1)</f>
        <v>6</v>
      </c>
    </row>
    <row r="5" spans="1:5">
      <c r="A5" s="17" t="str">
        <f>Datas!A7</f>
        <v>AntennaPod</v>
      </c>
      <c r="B5" s="17">
        <f>Datas!FD7</f>
        <v>575.6</v>
      </c>
      <c r="C5" s="17">
        <f>Datas!S7</f>
        <v>1180</v>
      </c>
      <c r="D5" s="17">
        <f t="shared" si="0"/>
        <v>5</v>
      </c>
      <c r="E5" s="17">
        <f t="shared" si="1"/>
        <v>5</v>
      </c>
    </row>
    <row r="6" spans="1:5">
      <c r="A6" s="8" t="str">
        <f>Datas!A8</f>
        <v>Markor</v>
      </c>
      <c r="B6" s="8">
        <f>Datas!FD8</f>
        <v>437.2</v>
      </c>
      <c r="C6" s="8">
        <f>Datas!S8</f>
        <v>576</v>
      </c>
      <c r="D6" s="8">
        <f t="shared" si="0"/>
        <v>3</v>
      </c>
      <c r="E6" s="8">
        <f t="shared" si="1"/>
        <v>3</v>
      </c>
    </row>
    <row r="7" spans="1:5">
      <c r="A7" s="17" t="str">
        <f>Datas!A9</f>
        <v>Fdroidclient</v>
      </c>
      <c r="B7" s="17">
        <f>Datas!FD9</f>
        <v>540.9</v>
      </c>
      <c r="C7" s="17">
        <f>Datas!S9</f>
        <v>716</v>
      </c>
      <c r="D7" s="17">
        <f t="shared" si="0"/>
        <v>4</v>
      </c>
      <c r="E7" s="17">
        <f t="shared" si="1"/>
        <v>4</v>
      </c>
    </row>
    <row r="8" spans="1:5">
      <c r="A8" s="8" t="str">
        <f>Datas!A10</f>
        <v>Damn-Vulnerable-Android-Components</v>
      </c>
      <c r="B8" s="8">
        <f>Datas!FD10</f>
        <v>406.9</v>
      </c>
      <c r="C8" s="8">
        <f>Datas!S10</f>
        <v>79</v>
      </c>
      <c r="D8" s="8">
        <f t="shared" si="0"/>
        <v>1</v>
      </c>
      <c r="E8" s="8">
        <f t="shared" si="1"/>
        <v>1</v>
      </c>
    </row>
    <row r="9" spans="1:5">
      <c r="A9" s="17" t="str">
        <f>Datas!A11</f>
        <v>OpenMRS</v>
      </c>
      <c r="B9" s="17">
        <f>Datas!FD11</f>
        <v>419.8</v>
      </c>
      <c r="C9" s="17">
        <f>Datas!S11</f>
        <v>462</v>
      </c>
      <c r="D9" s="17">
        <f t="shared" si="0"/>
        <v>2</v>
      </c>
      <c r="E9" s="17">
        <f t="shared" si="1"/>
        <v>2</v>
      </c>
    </row>
    <row r="10" spans="1:5">
      <c r="A10" s="17"/>
      <c r="B10" s="17"/>
      <c r="C10" s="17"/>
      <c r="D10" s="17"/>
      <c r="E10" s="17"/>
    </row>
    <row r="11" spans="1:5">
      <c r="A11" s="17" t="s">
        <v>103</v>
      </c>
      <c r="B11" s="17" t="str">
        <f>IF(ABS(B12)=1,"&lt;0.001",_xlfn.T.DIST.2T(ABS(B12*SQRT((7-2)/(1-B12^2))),7-2))</f>
        <v>&lt;0.001</v>
      </c>
      <c r="C11" s="17"/>
      <c r="D11" s="17"/>
      <c r="E11" s="17"/>
    </row>
    <row r="12" spans="1:5">
      <c r="A12" s="17" t="s">
        <v>104</v>
      </c>
      <c r="B12" s="17">
        <f>CORREL(D3:D9,E3:E9)</f>
        <v>1</v>
      </c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  <row r="16" spans="1:5">
      <c r="A16" s="17"/>
      <c r="B16" s="17"/>
      <c r="C16" s="17"/>
      <c r="D16" s="17"/>
      <c r="E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  <row r="21" spans="1:5">
      <c r="A21" s="31" t="s">
        <v>106</v>
      </c>
      <c r="B21" s="31"/>
      <c r="C21" s="31"/>
      <c r="D21" s="31"/>
      <c r="E21" s="31"/>
    </row>
    <row r="22" spans="1:5">
      <c r="A22" s="25" t="s">
        <v>44</v>
      </c>
      <c r="B22" s="25" t="s">
        <v>99</v>
      </c>
      <c r="C22" s="25" t="s">
        <v>100</v>
      </c>
      <c r="D22" s="25" t="s">
        <v>101</v>
      </c>
      <c r="E22" s="25" t="s">
        <v>102</v>
      </c>
    </row>
    <row r="23" spans="1:5">
      <c r="A23" s="17" t="str">
        <f>Datas!A5</f>
        <v>Signal Android</v>
      </c>
      <c r="B23" s="17">
        <f>Datas!FD5</f>
        <v>1789.6</v>
      </c>
      <c r="C23" s="17">
        <f>Datas!G5</f>
        <v>2360</v>
      </c>
      <c r="D23" s="17">
        <f t="shared" ref="D23:D29" si="2">_xlfn.RANK.AVG(C23,$C$23:$C$29,1)</f>
        <v>7</v>
      </c>
      <c r="E23" s="17">
        <f t="shared" ref="E23:E29" si="3">_xlfn.RANK.AVG(B23,$B$23:$B$29,1)</f>
        <v>7</v>
      </c>
    </row>
    <row r="24" spans="1:5">
      <c r="A24" s="8" t="str">
        <f>Datas!A6</f>
        <v>K-9 Mail (Thunderbird Android)</v>
      </c>
      <c r="B24" s="8">
        <f>Datas!FD6</f>
        <v>884.4</v>
      </c>
      <c r="C24" s="8">
        <f>Datas!G6</f>
        <v>248</v>
      </c>
      <c r="D24" s="8">
        <f t="shared" si="2"/>
        <v>6</v>
      </c>
      <c r="E24" s="8">
        <f t="shared" si="3"/>
        <v>6</v>
      </c>
    </row>
    <row r="25" spans="1:5">
      <c r="A25" s="17" t="str">
        <f>Datas!A7</f>
        <v>AntennaPod</v>
      </c>
      <c r="B25" s="17">
        <f>Datas!FD7</f>
        <v>575.6</v>
      </c>
      <c r="C25" s="17">
        <f>Datas!G7</f>
        <v>134</v>
      </c>
      <c r="D25" s="17">
        <f t="shared" si="2"/>
        <v>5</v>
      </c>
      <c r="E25" s="17">
        <f t="shared" si="3"/>
        <v>5</v>
      </c>
    </row>
    <row r="26" spans="1:5">
      <c r="A26" s="8" t="str">
        <f>Datas!A8</f>
        <v>Markor</v>
      </c>
      <c r="B26" s="8">
        <f>Datas!FD8</f>
        <v>437.2</v>
      </c>
      <c r="C26" s="8">
        <f>Datas!G8</f>
        <v>58.2</v>
      </c>
      <c r="D26" s="8">
        <f t="shared" si="2"/>
        <v>3</v>
      </c>
      <c r="E26" s="8">
        <f t="shared" si="3"/>
        <v>3</v>
      </c>
    </row>
    <row r="27" spans="1:5">
      <c r="A27" s="17" t="str">
        <f>Datas!A9</f>
        <v>Fdroidclient</v>
      </c>
      <c r="B27" s="17">
        <f>Datas!FD9</f>
        <v>540.9</v>
      </c>
      <c r="C27" s="17">
        <f>Datas!G9</f>
        <v>79.7</v>
      </c>
      <c r="D27" s="17">
        <f t="shared" si="2"/>
        <v>4</v>
      </c>
      <c r="E27" s="17">
        <f t="shared" si="3"/>
        <v>4</v>
      </c>
    </row>
    <row r="28" spans="1:5">
      <c r="A28" s="8" t="str">
        <f>Datas!A10</f>
        <v>Damn-Vulnerable-Android-Components</v>
      </c>
      <c r="B28" s="8">
        <f>Datas!FD10</f>
        <v>406.9</v>
      </c>
      <c r="C28" s="8">
        <f>Datas!G10</f>
        <v>37.299999999999997</v>
      </c>
      <c r="D28" s="8">
        <f t="shared" si="2"/>
        <v>2</v>
      </c>
      <c r="E28" s="8">
        <f t="shared" si="3"/>
        <v>1</v>
      </c>
    </row>
    <row r="29" spans="1:5">
      <c r="A29" s="17" t="str">
        <f>Datas!A11</f>
        <v>OpenMRS</v>
      </c>
      <c r="B29" s="17">
        <f>Datas!FD11</f>
        <v>419.8</v>
      </c>
      <c r="C29" s="17">
        <f>Datas!G11</f>
        <v>12.1</v>
      </c>
      <c r="D29" s="17">
        <f t="shared" si="2"/>
        <v>1</v>
      </c>
      <c r="E29" s="17">
        <f t="shared" si="3"/>
        <v>2</v>
      </c>
    </row>
    <row r="30" spans="1:5">
      <c r="A30" s="17"/>
      <c r="B30" s="17"/>
      <c r="C30" s="17"/>
      <c r="D30" s="17"/>
      <c r="E30" s="17"/>
    </row>
    <row r="31" spans="1:5">
      <c r="A31" s="17" t="s">
        <v>103</v>
      </c>
      <c r="B31" s="17">
        <f>IF(ABS(B32)=1,"&lt;0.001",_xlfn.T.DIST.2T(ABS(B32*SQRT((7-2)/(1-B32^2))),7-2))</f>
        <v>4.5414916919417521E-4</v>
      </c>
      <c r="C31" s="17"/>
      <c r="D31" s="17"/>
      <c r="E31" s="17"/>
    </row>
    <row r="32" spans="1:5">
      <c r="A32" s="17" t="s">
        <v>104</v>
      </c>
      <c r="B32" s="17">
        <f>CORREL(D23:D29,E23:E29)</f>
        <v>0.9642857142857143</v>
      </c>
      <c r="C32" s="17"/>
      <c r="D32" s="17"/>
      <c r="E32" s="17"/>
    </row>
    <row r="33" spans="1:5">
      <c r="A33" s="17"/>
      <c r="B33" s="17"/>
      <c r="C33" s="17"/>
      <c r="D33" s="17"/>
      <c r="E33" s="17"/>
    </row>
    <row r="34" spans="1:5">
      <c r="A34" s="17"/>
      <c r="B34" s="17"/>
      <c r="C34" s="17"/>
      <c r="D34" s="17"/>
      <c r="E34" s="17"/>
    </row>
    <row r="35" spans="1:5">
      <c r="A35" s="17"/>
      <c r="B35" s="17"/>
      <c r="C35" s="17"/>
      <c r="D35" s="17"/>
      <c r="E35" s="17"/>
    </row>
    <row r="41" spans="1:5">
      <c r="A41" s="31" t="s">
        <v>107</v>
      </c>
      <c r="B41" s="31"/>
      <c r="C41" s="31"/>
      <c r="D41" s="31"/>
      <c r="E41" s="31"/>
    </row>
    <row r="42" spans="1:5">
      <c r="A42" s="25" t="s">
        <v>44</v>
      </c>
      <c r="B42" s="25" t="s">
        <v>99</v>
      </c>
      <c r="C42" s="25" t="s">
        <v>4</v>
      </c>
      <c r="D42" s="25" t="s">
        <v>101</v>
      </c>
      <c r="E42" s="25" t="s">
        <v>102</v>
      </c>
    </row>
    <row r="43" spans="1:5">
      <c r="A43" s="17" t="str">
        <f>Datas!A5</f>
        <v>Signal Android</v>
      </c>
      <c r="B43" s="17">
        <f>Datas!FD5</f>
        <v>1789.6</v>
      </c>
      <c r="C43" s="17">
        <f>Datas!K5</f>
        <v>8737</v>
      </c>
      <c r="D43" s="17">
        <f>_xlfn.RANK.AVG(C43,$C$43:$C$49,1)</f>
        <v>7</v>
      </c>
      <c r="E43" s="17">
        <f>_xlfn.RANK.AVG(B43,$B$43:$B$49,1)</f>
        <v>7</v>
      </c>
    </row>
    <row r="44" spans="1:5">
      <c r="A44" s="8" t="str">
        <f>Datas!A6</f>
        <v>K-9 Mail (Thunderbird Android)</v>
      </c>
      <c r="B44" s="8">
        <f>Datas!FD6</f>
        <v>884.4</v>
      </c>
      <c r="C44" s="8">
        <f>Datas!K6</f>
        <v>7139</v>
      </c>
      <c r="D44" s="8">
        <f t="shared" ref="D44:D49" si="4">_xlfn.RANK.AVG(C44,$C$43:$C$49,1)</f>
        <v>6</v>
      </c>
      <c r="E44" s="8">
        <f t="shared" ref="E44:E49" si="5">_xlfn.RANK.AVG(B44,$B$43:$B$49,1)</f>
        <v>6</v>
      </c>
    </row>
    <row r="45" spans="1:5">
      <c r="A45" s="17" t="str">
        <f>Datas!A7</f>
        <v>AntennaPod</v>
      </c>
      <c r="B45" s="17">
        <f>Datas!FD7</f>
        <v>575.6</v>
      </c>
      <c r="C45" s="17">
        <f>Datas!K7</f>
        <v>1165</v>
      </c>
      <c r="D45" s="17">
        <f t="shared" si="4"/>
        <v>4</v>
      </c>
      <c r="E45" s="17">
        <f t="shared" si="5"/>
        <v>5</v>
      </c>
    </row>
    <row r="46" spans="1:5">
      <c r="A46" s="8" t="str">
        <f>Datas!A8</f>
        <v>Markor</v>
      </c>
      <c r="B46" s="8">
        <f>Datas!FD8</f>
        <v>437.2</v>
      </c>
      <c r="C46" s="8">
        <f>Datas!K8</f>
        <v>797</v>
      </c>
      <c r="D46" s="8">
        <f t="shared" si="4"/>
        <v>2</v>
      </c>
      <c r="E46" s="8">
        <f t="shared" si="5"/>
        <v>3</v>
      </c>
    </row>
    <row r="47" spans="1:5">
      <c r="A47" s="17" t="str">
        <f>Datas!A9</f>
        <v>Fdroidclient</v>
      </c>
      <c r="B47" s="17">
        <f>Datas!FD9</f>
        <v>540.9</v>
      </c>
      <c r="C47" s="17">
        <f>Datas!K9</f>
        <v>2086</v>
      </c>
      <c r="D47" s="17">
        <f t="shared" si="4"/>
        <v>5</v>
      </c>
      <c r="E47" s="17">
        <f t="shared" si="5"/>
        <v>4</v>
      </c>
    </row>
    <row r="48" spans="1:5">
      <c r="A48" s="8" t="str">
        <f>Datas!A10</f>
        <v>Damn-Vulnerable-Android-Components</v>
      </c>
      <c r="B48" s="8">
        <f>Datas!FD10</f>
        <v>406.9</v>
      </c>
      <c r="C48" s="8">
        <f>Datas!K10</f>
        <v>120</v>
      </c>
      <c r="D48" s="8">
        <f t="shared" si="4"/>
        <v>1</v>
      </c>
      <c r="E48" s="8">
        <f t="shared" si="5"/>
        <v>1</v>
      </c>
    </row>
    <row r="49" spans="1:5">
      <c r="A49" s="17" t="str">
        <f>Datas!A11</f>
        <v>OpenMRS</v>
      </c>
      <c r="B49" s="17">
        <f>Datas!FD11</f>
        <v>419.8</v>
      </c>
      <c r="C49" s="17">
        <f>Datas!K11</f>
        <v>839</v>
      </c>
      <c r="D49" s="17">
        <f t="shared" si="4"/>
        <v>3</v>
      </c>
      <c r="E49" s="17">
        <f t="shared" si="5"/>
        <v>2</v>
      </c>
    </row>
    <row r="50" spans="1:5">
      <c r="A50" s="17"/>
      <c r="B50" s="17"/>
      <c r="C50" s="17"/>
      <c r="D50" s="17"/>
      <c r="E50" s="17"/>
    </row>
    <row r="51" spans="1:5">
      <c r="A51" s="17" t="s">
        <v>103</v>
      </c>
      <c r="B51" s="17">
        <f>IF(ABS(B52)=1,"&lt;0.001",_xlfn.T.DIST.2T(ABS(B52*SQRT((7-2)/(1-B52^2))),7-2))</f>
        <v>2.5194724037947095E-3</v>
      </c>
      <c r="C51" s="17"/>
      <c r="D51" s="17"/>
      <c r="E51" s="17"/>
    </row>
    <row r="52" spans="1:5">
      <c r="A52" s="17" t="s">
        <v>104</v>
      </c>
      <c r="B52" s="17">
        <f>CORREL(D43:D49,E43:E49)</f>
        <v>0.9285714285714286</v>
      </c>
      <c r="C52" s="17"/>
      <c r="D52" s="17"/>
      <c r="E52" s="17"/>
    </row>
    <row r="53" spans="1:5">
      <c r="A53" s="17"/>
      <c r="B53" s="17"/>
      <c r="C53" s="17"/>
      <c r="D53" s="17"/>
      <c r="E53" s="17"/>
    </row>
    <row r="54" spans="1:5">
      <c r="A54" s="17"/>
      <c r="B54" s="17"/>
      <c r="C54" s="17"/>
      <c r="D54" s="17"/>
      <c r="E54" s="17"/>
    </row>
    <row r="55" spans="1:5">
      <c r="A55" s="17"/>
      <c r="B55" s="17"/>
      <c r="C55" s="17"/>
      <c r="D55" s="17"/>
      <c r="E55" s="17"/>
    </row>
    <row r="62" spans="1:5">
      <c r="A62" s="31" t="s">
        <v>48</v>
      </c>
      <c r="B62" s="31"/>
      <c r="C62" s="31"/>
      <c r="D62" s="31"/>
      <c r="E62" s="31"/>
    </row>
    <row r="63" spans="1:5">
      <c r="A63" s="25" t="s">
        <v>44</v>
      </c>
      <c r="B63" s="25" t="s">
        <v>99</v>
      </c>
      <c r="C63" s="25" t="s">
        <v>48</v>
      </c>
      <c r="D63" s="25" t="s">
        <v>101</v>
      </c>
      <c r="E63" s="25" t="s">
        <v>102</v>
      </c>
    </row>
    <row r="64" spans="1:5">
      <c r="A64" s="17" t="str">
        <f>Datas!A5</f>
        <v>Signal Android</v>
      </c>
      <c r="B64" s="17">
        <f>Datas!FD5</f>
        <v>1789.6</v>
      </c>
      <c r="C64" s="17">
        <f>Datas!M5</f>
        <v>1877</v>
      </c>
      <c r="D64" s="17">
        <f>_xlfn.RANK.AVG(C64,$C$64:$C$70,1)</f>
        <v>7</v>
      </c>
      <c r="E64" s="17">
        <f>_xlfn.RANK.AVG(B64,$B$64:$B$70,1)</f>
        <v>7</v>
      </c>
    </row>
    <row r="65" spans="1:5">
      <c r="A65" s="8" t="str">
        <f>Datas!A6</f>
        <v>K-9 Mail (Thunderbird Android)</v>
      </c>
      <c r="B65" s="8">
        <f>Datas!FD6</f>
        <v>884.4</v>
      </c>
      <c r="C65" s="8">
        <f>Datas!M6</f>
        <v>295</v>
      </c>
      <c r="D65" s="8">
        <f t="shared" ref="D65:D70" si="6">_xlfn.RANK.AVG(C65,$C$64:$C$70,1)</f>
        <v>5</v>
      </c>
      <c r="E65" s="8">
        <f t="shared" ref="E65:E70" si="7">_xlfn.RANK.AVG(B65,$B$64:$B$70,1)</f>
        <v>6</v>
      </c>
    </row>
    <row r="66" spans="1:5">
      <c r="A66" s="17" t="str">
        <f>Datas!A7</f>
        <v>AntennaPod</v>
      </c>
      <c r="B66" s="17">
        <f>Datas!FD7</f>
        <v>575.6</v>
      </c>
      <c r="C66" s="17">
        <f>Datas!M7</f>
        <v>619</v>
      </c>
      <c r="D66" s="17">
        <f t="shared" si="6"/>
        <v>6</v>
      </c>
      <c r="E66" s="17">
        <f t="shared" si="7"/>
        <v>5</v>
      </c>
    </row>
    <row r="67" spans="1:5">
      <c r="A67" s="8" t="str">
        <f>Datas!A8</f>
        <v>Markor</v>
      </c>
      <c r="B67" s="8">
        <f>Datas!FD8</f>
        <v>437.2</v>
      </c>
      <c r="C67" s="8">
        <f>Datas!M8</f>
        <v>158</v>
      </c>
      <c r="D67" s="8">
        <f t="shared" si="6"/>
        <v>3</v>
      </c>
      <c r="E67" s="8">
        <f t="shared" si="7"/>
        <v>3</v>
      </c>
    </row>
    <row r="68" spans="1:5">
      <c r="A68" s="17" t="str">
        <f>Datas!A9</f>
        <v>Fdroidclient</v>
      </c>
      <c r="B68" s="17">
        <f>Datas!FD9</f>
        <v>540.9</v>
      </c>
      <c r="C68" s="17">
        <f>Datas!M9</f>
        <v>235</v>
      </c>
      <c r="D68" s="17">
        <f t="shared" si="6"/>
        <v>4</v>
      </c>
      <c r="E68" s="17">
        <f t="shared" si="7"/>
        <v>4</v>
      </c>
    </row>
    <row r="69" spans="1:5">
      <c r="A69" s="8" t="str">
        <f>Datas!A10</f>
        <v>Damn-Vulnerable-Android-Components</v>
      </c>
      <c r="B69" s="8">
        <f>Datas!FD10</f>
        <v>406.9</v>
      </c>
      <c r="C69" s="8">
        <f>Datas!M10</f>
        <v>28</v>
      </c>
      <c r="D69" s="8">
        <f t="shared" si="6"/>
        <v>1</v>
      </c>
      <c r="E69" s="8">
        <f t="shared" si="7"/>
        <v>1</v>
      </c>
    </row>
    <row r="70" spans="1:5">
      <c r="A70" s="17" t="str">
        <f>Datas!A11</f>
        <v>OpenMRS</v>
      </c>
      <c r="B70" s="17">
        <f>Datas!FD11</f>
        <v>419.8</v>
      </c>
      <c r="C70" s="17">
        <f>Datas!M11</f>
        <v>75</v>
      </c>
      <c r="D70" s="17">
        <f t="shared" si="6"/>
        <v>2</v>
      </c>
      <c r="E70" s="17">
        <f t="shared" si="7"/>
        <v>2</v>
      </c>
    </row>
    <row r="71" spans="1:5">
      <c r="A71" s="17"/>
      <c r="B71" s="17"/>
      <c r="C71" s="17"/>
      <c r="D71" s="17"/>
      <c r="E71" s="17"/>
    </row>
    <row r="72" spans="1:5">
      <c r="A72" s="17" t="s">
        <v>103</v>
      </c>
      <c r="B72" s="17">
        <f>IF(ABS(B73)=1,"&lt;0.001",_xlfn.T.DIST.2T(ABS(B73*SQRT((7-2)/(1-B73^2))),7-2))</f>
        <v>4.5414916919417521E-4</v>
      </c>
      <c r="C72" s="17"/>
      <c r="D72" s="17"/>
      <c r="E72" s="17"/>
    </row>
    <row r="73" spans="1:5">
      <c r="A73" s="17" t="s">
        <v>104</v>
      </c>
      <c r="B73" s="17">
        <f>CORREL(D64:D70,E64:E70)</f>
        <v>0.9642857142857143</v>
      </c>
      <c r="C73" s="17"/>
      <c r="D73" s="17"/>
      <c r="E73" s="17"/>
    </row>
    <row r="74" spans="1:5">
      <c r="A74" s="17"/>
      <c r="B74" s="17"/>
      <c r="C74" s="17"/>
      <c r="D74" s="17"/>
      <c r="E74" s="17"/>
    </row>
    <row r="75" spans="1:5">
      <c r="A75" s="17"/>
      <c r="B75" s="17"/>
      <c r="C75" s="17"/>
      <c r="D75" s="17"/>
      <c r="E75" s="17"/>
    </row>
    <row r="76" spans="1:5">
      <c r="A76" s="17"/>
      <c r="B76" s="17"/>
      <c r="C76" s="17"/>
      <c r="D76" s="17"/>
      <c r="E76" s="17"/>
    </row>
    <row r="83" spans="1:5">
      <c r="A83" s="31" t="s">
        <v>6</v>
      </c>
      <c r="B83" s="31"/>
      <c r="C83" s="31"/>
      <c r="D83" s="31"/>
      <c r="E83" s="31"/>
    </row>
    <row r="84" spans="1:5">
      <c r="A84" s="25" t="s">
        <v>44</v>
      </c>
      <c r="B84" s="25" t="s">
        <v>99</v>
      </c>
      <c r="C84" s="25" t="s">
        <v>6</v>
      </c>
      <c r="D84" s="25" t="s">
        <v>101</v>
      </c>
      <c r="E84" s="25" t="s">
        <v>102</v>
      </c>
    </row>
    <row r="85" spans="1:5">
      <c r="A85" s="17" t="str">
        <f>Datas!A5</f>
        <v>Signal Android</v>
      </c>
      <c r="B85" s="17">
        <f>Datas!FD5</f>
        <v>1789.6</v>
      </c>
      <c r="C85" s="17">
        <f>Datas!J5</f>
        <v>1772</v>
      </c>
      <c r="D85" s="17">
        <f>_xlfn.RANK.AVG(C85,$C$85:$C$91,1)</f>
        <v>7</v>
      </c>
      <c r="E85" s="17">
        <f>_xlfn.RANK.AVG(B85,$B$85:$B$91,1)</f>
        <v>7</v>
      </c>
    </row>
    <row r="86" spans="1:5">
      <c r="A86" s="8" t="str">
        <f>Datas!A6</f>
        <v>K-9 Mail (Thunderbird Android)</v>
      </c>
      <c r="B86" s="8">
        <f>Datas!FD6</f>
        <v>884.4</v>
      </c>
      <c r="C86" s="8">
        <f>Datas!J6</f>
        <v>239</v>
      </c>
      <c r="D86" s="8">
        <f t="shared" ref="D86:D91" si="8">_xlfn.RANK.AVG(C86,$C$85:$C$91,1)</f>
        <v>5</v>
      </c>
      <c r="E86" s="8">
        <f t="shared" ref="E86:E91" si="9">_xlfn.RANK.AVG(B86,$B$85:$B$91,1)</f>
        <v>6</v>
      </c>
    </row>
    <row r="87" spans="1:5">
      <c r="A87" s="17" t="str">
        <f>Datas!A7</f>
        <v>AntennaPod</v>
      </c>
      <c r="B87" s="17">
        <f>Datas!FD7</f>
        <v>575.6</v>
      </c>
      <c r="C87" s="17">
        <f>Datas!J7</f>
        <v>537</v>
      </c>
      <c r="D87" s="17">
        <f t="shared" si="8"/>
        <v>6</v>
      </c>
      <c r="E87" s="17">
        <f t="shared" si="9"/>
        <v>5</v>
      </c>
    </row>
    <row r="88" spans="1:5">
      <c r="A88" s="8" t="str">
        <f>Datas!A8</f>
        <v>Markor</v>
      </c>
      <c r="B88" s="8">
        <f>Datas!FD8</f>
        <v>437.2</v>
      </c>
      <c r="C88" s="8">
        <f>Datas!J8</f>
        <v>140</v>
      </c>
      <c r="D88" s="8">
        <f t="shared" si="8"/>
        <v>3</v>
      </c>
      <c r="E88" s="8">
        <f t="shared" si="9"/>
        <v>3</v>
      </c>
    </row>
    <row r="89" spans="1:5">
      <c r="A89" s="17" t="str">
        <f>Datas!A9</f>
        <v>Fdroidclient</v>
      </c>
      <c r="B89" s="17">
        <f>Datas!FD9</f>
        <v>540.9</v>
      </c>
      <c r="C89" s="17">
        <f>Datas!J9</f>
        <v>232</v>
      </c>
      <c r="D89" s="17">
        <f t="shared" si="8"/>
        <v>4</v>
      </c>
      <c r="E89" s="17">
        <f t="shared" si="9"/>
        <v>4</v>
      </c>
    </row>
    <row r="90" spans="1:5">
      <c r="A90" s="8" t="str">
        <f>Datas!A10</f>
        <v>Damn-Vulnerable-Android-Components</v>
      </c>
      <c r="B90" s="8">
        <f>Datas!FD10</f>
        <v>406.9</v>
      </c>
      <c r="C90" s="8">
        <f>Datas!J10</f>
        <v>27</v>
      </c>
      <c r="D90" s="8">
        <f t="shared" si="8"/>
        <v>1</v>
      </c>
      <c r="E90" s="8">
        <f t="shared" si="9"/>
        <v>1</v>
      </c>
    </row>
    <row r="91" spans="1:5">
      <c r="A91" s="17" t="str">
        <f>Datas!A11</f>
        <v>OpenMRS</v>
      </c>
      <c r="B91" s="17">
        <f>Datas!FD11</f>
        <v>419.8</v>
      </c>
      <c r="C91" s="17">
        <f>Datas!J11</f>
        <v>64</v>
      </c>
      <c r="D91" s="17">
        <f t="shared" si="8"/>
        <v>2</v>
      </c>
      <c r="E91" s="17">
        <f t="shared" si="9"/>
        <v>2</v>
      </c>
    </row>
    <row r="92" spans="1:5">
      <c r="A92" s="17"/>
      <c r="B92" s="17"/>
      <c r="C92" s="17"/>
      <c r="D92" s="17"/>
      <c r="E92" s="17"/>
    </row>
    <row r="93" spans="1:5">
      <c r="A93" s="17" t="s">
        <v>103</v>
      </c>
      <c r="B93" s="17">
        <f>IF(ABS(B94)=1,"&lt;0.001",_xlfn.T.DIST.2T(ABS(B94*SQRT((7-2)/(1-B94^2))),7-2))</f>
        <v>4.5414916919417521E-4</v>
      </c>
      <c r="C93" s="17"/>
      <c r="D93" s="17"/>
      <c r="E93" s="17"/>
    </row>
    <row r="94" spans="1:5">
      <c r="A94" s="17" t="s">
        <v>104</v>
      </c>
      <c r="B94" s="17">
        <f>CORREL(D85:D91,E85:E91)</f>
        <v>0.9642857142857143</v>
      </c>
      <c r="C94" s="17"/>
      <c r="D94" s="17"/>
      <c r="E94" s="17"/>
    </row>
    <row r="95" spans="1:5">
      <c r="A95" s="17"/>
      <c r="B95" s="17"/>
      <c r="C95" s="17"/>
      <c r="D95" s="17"/>
      <c r="E95" s="17"/>
    </row>
    <row r="96" spans="1:5">
      <c r="A96" s="17"/>
      <c r="B96" s="17"/>
      <c r="C96" s="17"/>
      <c r="D96" s="17"/>
      <c r="E96" s="17"/>
    </row>
    <row r="97" spans="1:5">
      <c r="A97" s="17"/>
      <c r="B97" s="17"/>
      <c r="C97" s="17"/>
      <c r="D97" s="17"/>
      <c r="E97" s="17"/>
    </row>
    <row r="104" spans="1:5">
      <c r="A104" s="31" t="s">
        <v>4</v>
      </c>
      <c r="B104" s="31"/>
      <c r="C104" s="31"/>
      <c r="D104" s="31"/>
      <c r="E104" s="31"/>
    </row>
    <row r="105" spans="1:5">
      <c r="A105" s="25" t="s">
        <v>44</v>
      </c>
      <c r="B105" s="25" t="s">
        <v>99</v>
      </c>
      <c r="C105" s="25" t="s">
        <v>4</v>
      </c>
      <c r="D105" s="25" t="s">
        <v>101</v>
      </c>
      <c r="E105" s="25" t="s">
        <v>102</v>
      </c>
    </row>
    <row r="106" spans="1:5">
      <c r="A106" s="17" t="str">
        <f>Datas!A5</f>
        <v>Signal Android</v>
      </c>
      <c r="B106" s="17">
        <f>Datas!FD5</f>
        <v>1789.6</v>
      </c>
      <c r="C106" s="17">
        <f>Datas!K5</f>
        <v>8737</v>
      </c>
      <c r="D106" s="17">
        <f>_xlfn.RANK.AVG(C106,$C$106:$C$112,1)</f>
        <v>7</v>
      </c>
      <c r="E106" s="17">
        <f>_xlfn.RANK.AVG(B106,$B$106:$B$112,1)</f>
        <v>7</v>
      </c>
    </row>
    <row r="107" spans="1:5">
      <c r="A107" s="8" t="str">
        <f>Datas!A6</f>
        <v>K-9 Mail (Thunderbird Android)</v>
      </c>
      <c r="B107" s="8">
        <f>Datas!FD6</f>
        <v>884.4</v>
      </c>
      <c r="C107" s="8">
        <f>Datas!K6</f>
        <v>7139</v>
      </c>
      <c r="D107" s="8">
        <f t="shared" ref="D107:D112" si="10">_xlfn.RANK.AVG(C107,$C$106:$C$112,1)</f>
        <v>6</v>
      </c>
      <c r="E107" s="8">
        <f t="shared" ref="E107:E112" si="11">_xlfn.RANK.AVG(B107,$B$106:$B$112,1)</f>
        <v>6</v>
      </c>
    </row>
    <row r="108" spans="1:5">
      <c r="A108" s="17" t="str">
        <f>Datas!A7</f>
        <v>AntennaPod</v>
      </c>
      <c r="B108" s="17">
        <f>Datas!FD7</f>
        <v>575.6</v>
      </c>
      <c r="C108" s="17">
        <f>Datas!K7</f>
        <v>1165</v>
      </c>
      <c r="D108" s="17">
        <f t="shared" si="10"/>
        <v>4</v>
      </c>
      <c r="E108" s="17">
        <f t="shared" si="11"/>
        <v>5</v>
      </c>
    </row>
    <row r="109" spans="1:5">
      <c r="A109" s="8" t="str">
        <f>Datas!A8</f>
        <v>Markor</v>
      </c>
      <c r="B109" s="8">
        <f>Datas!FD8</f>
        <v>437.2</v>
      </c>
      <c r="C109" s="8">
        <f>Datas!K8</f>
        <v>797</v>
      </c>
      <c r="D109" s="8">
        <f t="shared" si="10"/>
        <v>2</v>
      </c>
      <c r="E109" s="8">
        <f t="shared" si="11"/>
        <v>3</v>
      </c>
    </row>
    <row r="110" spans="1:5">
      <c r="A110" s="17" t="str">
        <f>Datas!A9</f>
        <v>Fdroidclient</v>
      </c>
      <c r="B110" s="17">
        <f>Datas!FD9</f>
        <v>540.9</v>
      </c>
      <c r="C110" s="17">
        <f>Datas!K9</f>
        <v>2086</v>
      </c>
      <c r="D110" s="17">
        <f t="shared" si="10"/>
        <v>5</v>
      </c>
      <c r="E110" s="17">
        <f t="shared" si="11"/>
        <v>4</v>
      </c>
    </row>
    <row r="111" spans="1:5">
      <c r="A111" s="8" t="str">
        <f>Datas!A10</f>
        <v>Damn-Vulnerable-Android-Components</v>
      </c>
      <c r="B111" s="8">
        <f>Datas!FD10</f>
        <v>406.9</v>
      </c>
      <c r="C111" s="8">
        <f>Datas!K10</f>
        <v>120</v>
      </c>
      <c r="D111" s="8">
        <f t="shared" si="10"/>
        <v>1</v>
      </c>
      <c r="E111" s="8">
        <f t="shared" si="11"/>
        <v>1</v>
      </c>
    </row>
    <row r="112" spans="1:5">
      <c r="A112" s="17" t="str">
        <f>Datas!A11</f>
        <v>OpenMRS</v>
      </c>
      <c r="B112" s="17">
        <f>Datas!FD11</f>
        <v>419.8</v>
      </c>
      <c r="C112" s="17">
        <f>Datas!K11</f>
        <v>839</v>
      </c>
      <c r="D112" s="17">
        <f t="shared" si="10"/>
        <v>3</v>
      </c>
      <c r="E112" s="17">
        <f t="shared" si="11"/>
        <v>2</v>
      </c>
    </row>
    <row r="113" spans="1:5">
      <c r="A113" s="17"/>
      <c r="B113" s="17"/>
      <c r="C113" s="17"/>
      <c r="D113" s="17"/>
      <c r="E113" s="17"/>
    </row>
    <row r="114" spans="1:5">
      <c r="A114" s="17" t="s">
        <v>103</v>
      </c>
      <c r="B114" s="17">
        <f>IF(ABS(B115)=1,"&lt;0.001",_xlfn.T.DIST.2T(ABS(B115*SQRT((7-2)/(1-B115^2))),7-2))</f>
        <v>2.5194724037947095E-3</v>
      </c>
      <c r="C114" s="17"/>
      <c r="D114" s="17"/>
      <c r="E114" s="17"/>
    </row>
    <row r="115" spans="1:5">
      <c r="A115" s="17" t="s">
        <v>104</v>
      </c>
      <c r="B115" s="17">
        <f>CORREL(D106:D112,E106:E112)</f>
        <v>0.9285714285714286</v>
      </c>
      <c r="C115" s="17"/>
      <c r="D115" s="17"/>
      <c r="E115" s="17"/>
    </row>
    <row r="116" spans="1:5">
      <c r="A116" s="17"/>
      <c r="B116" s="17"/>
      <c r="C116" s="17"/>
      <c r="D116" s="17"/>
      <c r="E116" s="17"/>
    </row>
    <row r="117" spans="1:5">
      <c r="A117" s="17"/>
      <c r="B117" s="17"/>
      <c r="C117" s="17"/>
      <c r="D117" s="17"/>
      <c r="E117" s="17"/>
    </row>
    <row r="118" spans="1:5">
      <c r="A118" s="17"/>
      <c r="B118" s="17"/>
      <c r="C118" s="17"/>
      <c r="D118" s="17"/>
      <c r="E118" s="17"/>
    </row>
    <row r="125" spans="1:5">
      <c r="A125" s="31" t="s">
        <v>3</v>
      </c>
      <c r="B125" s="31"/>
      <c r="C125" s="31"/>
      <c r="D125" s="31"/>
      <c r="E125" s="31"/>
    </row>
    <row r="126" spans="1:5">
      <c r="A126" s="25" t="s">
        <v>44</v>
      </c>
      <c r="B126" s="25" t="s">
        <v>99</v>
      </c>
      <c r="C126" s="25" t="s">
        <v>3</v>
      </c>
      <c r="D126" s="25" t="s">
        <v>101</v>
      </c>
      <c r="E126" s="25" t="s">
        <v>102</v>
      </c>
    </row>
    <row r="127" spans="1:5">
      <c r="A127" s="17" t="str">
        <f>Datas!A5</f>
        <v>Signal Android</v>
      </c>
      <c r="B127" s="17">
        <f>Datas!FD5</f>
        <v>1789.6</v>
      </c>
      <c r="C127" s="17">
        <f>Datas!L5</f>
        <v>1603006</v>
      </c>
      <c r="D127" s="17">
        <f>_xlfn.RANK.AVG(C127,$C$127:$C$133,1)</f>
        <v>7</v>
      </c>
      <c r="E127" s="17">
        <f>_xlfn.RANK.AVG(B127,$B$127:$B$133,1)</f>
        <v>7</v>
      </c>
    </row>
    <row r="128" spans="1:5">
      <c r="A128" s="8" t="str">
        <f>Datas!A6</f>
        <v>K-9 Mail (Thunderbird Android)</v>
      </c>
      <c r="B128" s="8">
        <f>Datas!FD6</f>
        <v>884.4</v>
      </c>
      <c r="C128" s="8">
        <f>Datas!L6</f>
        <v>129770</v>
      </c>
      <c r="D128" s="8">
        <f t="shared" ref="D128:D133" si="12">_xlfn.RANK.AVG(C128,$C$127:$C$133,1)</f>
        <v>6</v>
      </c>
      <c r="E128" s="8">
        <f t="shared" ref="E128:E133" si="13">_xlfn.RANK.AVG(B128,$B$127:$B$133,1)</f>
        <v>6</v>
      </c>
    </row>
    <row r="129" spans="1:5">
      <c r="A129" s="17" t="str">
        <f>Datas!A7</f>
        <v>AntennaPod</v>
      </c>
      <c r="B129" s="17">
        <f>Datas!FD7</f>
        <v>575.6</v>
      </c>
      <c r="C129" s="17">
        <f>Datas!L7</f>
        <v>62675</v>
      </c>
      <c r="D129" s="17">
        <f t="shared" si="12"/>
        <v>4</v>
      </c>
      <c r="E129" s="17">
        <f t="shared" si="13"/>
        <v>5</v>
      </c>
    </row>
    <row r="130" spans="1:5">
      <c r="A130" s="8" t="str">
        <f>Datas!A8</f>
        <v>Markor</v>
      </c>
      <c r="B130" s="8">
        <f>Datas!FD8</f>
        <v>437.2</v>
      </c>
      <c r="C130" s="8">
        <f>Datas!L8</f>
        <v>30512</v>
      </c>
      <c r="D130" s="8">
        <f t="shared" si="12"/>
        <v>2</v>
      </c>
      <c r="E130" s="8">
        <f t="shared" si="13"/>
        <v>3</v>
      </c>
    </row>
    <row r="131" spans="1:5">
      <c r="A131" s="17" t="str">
        <f>Datas!A9</f>
        <v>Fdroidclient</v>
      </c>
      <c r="B131" s="17">
        <f>Datas!FD9</f>
        <v>540.9</v>
      </c>
      <c r="C131" s="17">
        <f>Datas!L9</f>
        <v>94671</v>
      </c>
      <c r="D131" s="17">
        <f t="shared" si="12"/>
        <v>5</v>
      </c>
      <c r="E131" s="17">
        <f t="shared" si="13"/>
        <v>4</v>
      </c>
    </row>
    <row r="132" spans="1:5">
      <c r="A132" s="8" t="str">
        <f>Datas!A10</f>
        <v>Damn-Vulnerable-Android-Components</v>
      </c>
      <c r="B132" s="8">
        <f>Datas!FD10</f>
        <v>406.9</v>
      </c>
      <c r="C132" s="8">
        <f>Datas!L10</f>
        <v>2854</v>
      </c>
      <c r="D132" s="8">
        <f t="shared" si="12"/>
        <v>1</v>
      </c>
      <c r="E132" s="8">
        <f t="shared" si="13"/>
        <v>1</v>
      </c>
    </row>
    <row r="133" spans="1:5">
      <c r="A133" s="17" t="str">
        <f>Datas!A11</f>
        <v>OpenMRS</v>
      </c>
      <c r="B133" s="17">
        <f>Datas!FD11</f>
        <v>419.8</v>
      </c>
      <c r="C133" s="17">
        <f>Datas!L11</f>
        <v>53765</v>
      </c>
      <c r="D133" s="17">
        <f t="shared" si="12"/>
        <v>3</v>
      </c>
      <c r="E133" s="17">
        <f t="shared" si="13"/>
        <v>2</v>
      </c>
    </row>
    <row r="134" spans="1:5">
      <c r="A134" s="17"/>
      <c r="B134" s="17"/>
      <c r="C134" s="17"/>
      <c r="D134" s="17"/>
      <c r="E134" s="17"/>
    </row>
    <row r="135" spans="1:5">
      <c r="A135" s="17" t="s">
        <v>103</v>
      </c>
      <c r="B135" s="17">
        <f>IF(ABS(B136)=1,"&lt;0.001",_xlfn.T.DIST.2T(ABS(B136*SQRT((7-2)/(1-B136^2))),7-2))</f>
        <v>2.5194724037947095E-3</v>
      </c>
      <c r="C135" s="17"/>
      <c r="D135" s="17"/>
      <c r="E135" s="17"/>
    </row>
    <row r="136" spans="1:5">
      <c r="A136" s="17" t="s">
        <v>104</v>
      </c>
      <c r="B136" s="17">
        <f>CORREL(D127:D133,E127:E133)</f>
        <v>0.9285714285714286</v>
      </c>
      <c r="C136" s="17"/>
      <c r="D136" s="17"/>
      <c r="E136" s="17"/>
    </row>
    <row r="137" spans="1:5">
      <c r="A137" s="17"/>
      <c r="B137" s="17"/>
      <c r="C137" s="17"/>
      <c r="D137" s="17"/>
      <c r="E137" s="17"/>
    </row>
    <row r="138" spans="1:5">
      <c r="A138" s="17"/>
      <c r="B138" s="17"/>
      <c r="C138" s="17"/>
      <c r="D138" s="17"/>
      <c r="E138" s="17"/>
    </row>
    <row r="139" spans="1:5">
      <c r="A139" s="17"/>
      <c r="B139" s="17"/>
      <c r="C139" s="17"/>
      <c r="D139" s="17"/>
      <c r="E139" s="17"/>
    </row>
    <row r="146" spans="1:5">
      <c r="A146" s="31" t="s">
        <v>9</v>
      </c>
      <c r="B146" s="31"/>
      <c r="C146" s="31"/>
      <c r="D146" s="31"/>
      <c r="E146" s="31"/>
    </row>
    <row r="147" spans="1:5">
      <c r="A147" s="25" t="s">
        <v>44</v>
      </c>
      <c r="B147" s="25" t="s">
        <v>99</v>
      </c>
      <c r="C147" s="25" t="s">
        <v>9</v>
      </c>
      <c r="D147" s="25" t="s">
        <v>101</v>
      </c>
      <c r="E147" s="25" t="s">
        <v>102</v>
      </c>
    </row>
    <row r="148" spans="1:5">
      <c r="A148" s="17" t="str">
        <f>Datas!A5</f>
        <v>Signal Android</v>
      </c>
      <c r="B148" s="17">
        <f>Datas!FD5</f>
        <v>1789.6</v>
      </c>
      <c r="C148" s="17">
        <f>Datas!N5</f>
        <v>88</v>
      </c>
      <c r="D148" s="17">
        <f>_xlfn.RANK.AVG(C148,$C$148:$C$154,1)</f>
        <v>7</v>
      </c>
      <c r="E148" s="17">
        <f>_xlfn.RANK.AVG(B148,$B$148:$B$154,1)</f>
        <v>7</v>
      </c>
    </row>
    <row r="149" spans="1:5">
      <c r="A149" s="8" t="str">
        <f>Datas!A6</f>
        <v>K-9 Mail (Thunderbird Android)</v>
      </c>
      <c r="B149" s="8">
        <f>Datas!FD6</f>
        <v>884.4</v>
      </c>
      <c r="C149" s="8">
        <f>Datas!N6</f>
        <v>44</v>
      </c>
      <c r="D149" s="8">
        <f t="shared" ref="D149:D154" si="14">_xlfn.RANK.AVG(C149,$C$148:$C$154,1)</f>
        <v>6</v>
      </c>
      <c r="E149" s="8">
        <f t="shared" ref="E149:E154" si="15">_xlfn.RANK.AVG(B149,$B$148:$B$154,1)</f>
        <v>6</v>
      </c>
    </row>
    <row r="150" spans="1:5">
      <c r="A150" s="17" t="str">
        <f>Datas!A7</f>
        <v>AntennaPod</v>
      </c>
      <c r="B150" s="17">
        <f>Datas!FD7</f>
        <v>575.6</v>
      </c>
      <c r="C150" s="17">
        <f>Datas!N7</f>
        <v>21</v>
      </c>
      <c r="D150" s="17">
        <f t="shared" si="14"/>
        <v>4</v>
      </c>
      <c r="E150" s="17">
        <f t="shared" si="15"/>
        <v>5</v>
      </c>
    </row>
    <row r="151" spans="1:5">
      <c r="A151" s="8" t="str">
        <f>Datas!A8</f>
        <v>Markor</v>
      </c>
      <c r="B151" s="8">
        <f>Datas!FD8</f>
        <v>437.2</v>
      </c>
      <c r="C151" s="8">
        <f>Datas!N8</f>
        <v>15</v>
      </c>
      <c r="D151" s="8">
        <f t="shared" si="14"/>
        <v>3</v>
      </c>
      <c r="E151" s="8">
        <f t="shared" si="15"/>
        <v>3</v>
      </c>
    </row>
    <row r="152" spans="1:5">
      <c r="A152" s="17" t="str">
        <f>Datas!A9</f>
        <v>Fdroidclient</v>
      </c>
      <c r="B152" s="17">
        <f>Datas!FD9</f>
        <v>540.9</v>
      </c>
      <c r="C152" s="17">
        <f>Datas!N9</f>
        <v>31</v>
      </c>
      <c r="D152" s="17">
        <f t="shared" si="14"/>
        <v>5</v>
      </c>
      <c r="E152" s="17">
        <f t="shared" si="15"/>
        <v>4</v>
      </c>
    </row>
    <row r="153" spans="1:5">
      <c r="A153" s="8" t="str">
        <f>Datas!A10</f>
        <v>Damn-Vulnerable-Android-Components</v>
      </c>
      <c r="B153" s="8">
        <f>Datas!FD10</f>
        <v>406.9</v>
      </c>
      <c r="C153" s="8">
        <f>Datas!N10</f>
        <v>11</v>
      </c>
      <c r="D153" s="8">
        <f t="shared" si="14"/>
        <v>2</v>
      </c>
      <c r="E153" s="8">
        <f t="shared" si="15"/>
        <v>1</v>
      </c>
    </row>
    <row r="154" spans="1:5">
      <c r="A154" s="17" t="str">
        <f>Datas!A11</f>
        <v>OpenMRS</v>
      </c>
      <c r="B154" s="17">
        <f>Datas!FD11</f>
        <v>419.8</v>
      </c>
      <c r="C154" s="17">
        <f>Datas!N11</f>
        <v>7</v>
      </c>
      <c r="D154" s="17">
        <f t="shared" si="14"/>
        <v>1</v>
      </c>
      <c r="E154" s="17">
        <f t="shared" si="15"/>
        <v>2</v>
      </c>
    </row>
    <row r="155" spans="1:5">
      <c r="A155" s="17"/>
      <c r="B155" s="17"/>
      <c r="C155" s="17"/>
      <c r="D155" s="17"/>
      <c r="E155" s="17"/>
    </row>
    <row r="156" spans="1:5">
      <c r="A156" s="17" t="s">
        <v>103</v>
      </c>
      <c r="B156" s="17">
        <f>IF(ABS(B157)=1,"&lt;0.001",_xlfn.T.DIST.2T(ABS(B157*SQRT((7-2)/(1-B157^2))),7-2))</f>
        <v>2.5194724037947095E-3</v>
      </c>
      <c r="C156" s="17"/>
      <c r="D156" s="17"/>
      <c r="E156" s="17"/>
    </row>
    <row r="157" spans="1:5">
      <c r="A157" s="17" t="s">
        <v>104</v>
      </c>
      <c r="B157" s="17">
        <f>CORREL(D148:D154,E148:E154)</f>
        <v>0.9285714285714286</v>
      </c>
      <c r="C157" s="17"/>
      <c r="D157" s="17"/>
      <c r="E157" s="17"/>
    </row>
    <row r="158" spans="1:5">
      <c r="A158" s="17"/>
      <c r="B158" s="17"/>
      <c r="C158" s="17"/>
      <c r="D158" s="17"/>
      <c r="E158" s="17"/>
    </row>
    <row r="159" spans="1:5">
      <c r="A159" s="17"/>
      <c r="B159" s="17"/>
      <c r="C159" s="17"/>
      <c r="D159" s="17"/>
      <c r="E159" s="17"/>
    </row>
    <row r="160" spans="1:5">
      <c r="A160" s="17"/>
      <c r="B160" s="17"/>
      <c r="C160" s="17"/>
      <c r="D160" s="17"/>
      <c r="E160" s="17"/>
    </row>
    <row r="167" spans="1:5">
      <c r="A167" s="31" t="s">
        <v>108</v>
      </c>
      <c r="B167" s="31"/>
      <c r="C167" s="31"/>
      <c r="D167" s="31"/>
      <c r="E167" s="31"/>
    </row>
    <row r="168" spans="1:5">
      <c r="A168" s="25" t="s">
        <v>44</v>
      </c>
      <c r="B168" s="25" t="s">
        <v>99</v>
      </c>
      <c r="C168" s="25" t="s">
        <v>108</v>
      </c>
      <c r="D168" s="25" t="s">
        <v>101</v>
      </c>
      <c r="E168" s="25" t="s">
        <v>102</v>
      </c>
    </row>
    <row r="169" spans="1:5">
      <c r="A169" s="17" t="str">
        <f>Datas!A5</f>
        <v>Signal Android</v>
      </c>
      <c r="B169" s="17">
        <f>Datas!FD5</f>
        <v>1789.6</v>
      </c>
      <c r="C169" s="17">
        <f>Datas!O5</f>
        <v>49</v>
      </c>
      <c r="D169" s="17">
        <f>_xlfn.RANK.AVG(C169,$C$169:$C$175,1)</f>
        <v>7</v>
      </c>
      <c r="E169" s="17">
        <f>_xlfn.RANK.AVG(B169,$B$169:$B$175,1)</f>
        <v>7</v>
      </c>
    </row>
    <row r="170" spans="1:5">
      <c r="A170" s="8" t="str">
        <f>Datas!A6</f>
        <v>K-9 Mail (Thunderbird Android)</v>
      </c>
      <c r="B170" s="8">
        <f>Datas!FD6</f>
        <v>884.4</v>
      </c>
      <c r="C170" s="8">
        <f>Datas!O6</f>
        <v>28</v>
      </c>
      <c r="D170" s="8">
        <f t="shared" ref="D170:D175" si="16">_xlfn.RANK.AVG(C170,$C$169:$C$175,1)</f>
        <v>5</v>
      </c>
      <c r="E170" s="8">
        <f t="shared" ref="E170:E175" si="17">_xlfn.RANK.AVG(B170,$B$169:$B$175,1)</f>
        <v>6</v>
      </c>
    </row>
    <row r="171" spans="1:5">
      <c r="A171" s="17" t="str">
        <f>Datas!A7</f>
        <v>AntennaPod</v>
      </c>
      <c r="B171" s="17">
        <f>Datas!FD7</f>
        <v>575.6</v>
      </c>
      <c r="C171" s="17">
        <f>Datas!O7</f>
        <v>38</v>
      </c>
      <c r="D171" s="17">
        <f t="shared" si="16"/>
        <v>6</v>
      </c>
      <c r="E171" s="17">
        <f t="shared" si="17"/>
        <v>5</v>
      </c>
    </row>
    <row r="172" spans="1:5">
      <c r="A172" s="8" t="str">
        <f>Datas!A8</f>
        <v>Markor</v>
      </c>
      <c r="B172" s="8">
        <f>Datas!FD8</f>
        <v>437.2</v>
      </c>
      <c r="C172" s="8">
        <f>Datas!O8</f>
        <v>19</v>
      </c>
      <c r="D172" s="8">
        <f t="shared" si="16"/>
        <v>2</v>
      </c>
      <c r="E172" s="8">
        <f t="shared" si="17"/>
        <v>3</v>
      </c>
    </row>
    <row r="173" spans="1:5">
      <c r="A173" s="17" t="str">
        <f>Datas!A9</f>
        <v>Fdroidclient</v>
      </c>
      <c r="B173" s="17">
        <f>Datas!FD9</f>
        <v>540.9</v>
      </c>
      <c r="C173" s="17">
        <f>Datas!O9</f>
        <v>22</v>
      </c>
      <c r="D173" s="17">
        <f t="shared" si="16"/>
        <v>4</v>
      </c>
      <c r="E173" s="17">
        <f t="shared" si="17"/>
        <v>4</v>
      </c>
    </row>
    <row r="174" spans="1:5">
      <c r="A174" s="8" t="str">
        <f>Datas!A10</f>
        <v>Damn-Vulnerable-Android-Components</v>
      </c>
      <c r="B174" s="8">
        <f>Datas!FD10</f>
        <v>406.9</v>
      </c>
      <c r="C174" s="8">
        <f>Datas!O10</f>
        <v>21</v>
      </c>
      <c r="D174" s="8">
        <f t="shared" si="16"/>
        <v>3</v>
      </c>
      <c r="E174" s="8">
        <f t="shared" si="17"/>
        <v>1</v>
      </c>
    </row>
    <row r="175" spans="1:5">
      <c r="A175" s="17" t="str">
        <f>Datas!A11</f>
        <v>OpenMRS</v>
      </c>
      <c r="B175" s="17">
        <f>Datas!FD11</f>
        <v>419.8</v>
      </c>
      <c r="C175" s="17">
        <f>Datas!O11</f>
        <v>14</v>
      </c>
      <c r="D175" s="17">
        <f t="shared" si="16"/>
        <v>1</v>
      </c>
      <c r="E175" s="17">
        <f t="shared" si="17"/>
        <v>2</v>
      </c>
    </row>
    <row r="176" spans="1:5">
      <c r="A176" s="17"/>
      <c r="B176" s="17"/>
      <c r="C176" s="17"/>
      <c r="D176" s="17"/>
      <c r="E176" s="17"/>
    </row>
    <row r="177" spans="1:5">
      <c r="A177" s="17" t="s">
        <v>103</v>
      </c>
      <c r="B177" s="17">
        <f>IF(ABS(B178)=1,"&lt;0.001",_xlfn.T.DIST.2T(ABS(B178*SQRT((7-2)/(1-B178^2))),7-2))</f>
        <v>1.3697326615325672E-2</v>
      </c>
      <c r="C177" s="17"/>
      <c r="D177" s="17"/>
      <c r="E177" s="17"/>
    </row>
    <row r="178" spans="1:5">
      <c r="A178" s="17" t="s">
        <v>104</v>
      </c>
      <c r="B178" s="17">
        <f>CORREL(D169:D175,E169:E175)</f>
        <v>0.8571428571428571</v>
      </c>
      <c r="C178" s="17"/>
      <c r="D178" s="17"/>
      <c r="E178" s="17"/>
    </row>
    <row r="179" spans="1:5">
      <c r="A179" s="17"/>
      <c r="B179" s="17"/>
      <c r="C179" s="17"/>
      <c r="D179" s="17"/>
      <c r="E179" s="17"/>
    </row>
    <row r="180" spans="1:5">
      <c r="A180" s="17"/>
      <c r="B180" s="17"/>
      <c r="C180" s="17"/>
      <c r="D180" s="17"/>
      <c r="E180" s="17"/>
    </row>
    <row r="181" spans="1:5">
      <c r="A181" s="17"/>
      <c r="B181" s="17"/>
      <c r="C181" s="17"/>
      <c r="D181" s="17"/>
      <c r="E181" s="17"/>
    </row>
    <row r="188" spans="1:5">
      <c r="A188" s="31" t="s">
        <v>109</v>
      </c>
      <c r="B188" s="31"/>
      <c r="C188" s="31"/>
      <c r="D188" s="31"/>
      <c r="E188" s="31"/>
    </row>
    <row r="189" spans="1:5">
      <c r="A189" s="25" t="s">
        <v>44</v>
      </c>
      <c r="B189" s="25" t="s">
        <v>99</v>
      </c>
      <c r="C189" s="25" t="s">
        <v>109</v>
      </c>
      <c r="D189" s="25" t="s">
        <v>101</v>
      </c>
      <c r="E189" s="25" t="s">
        <v>102</v>
      </c>
    </row>
    <row r="190" spans="1:5">
      <c r="A190" s="17" t="str">
        <f>Datas!A5</f>
        <v>Signal Android</v>
      </c>
      <c r="B190" s="17">
        <f>Datas!FD5</f>
        <v>1789.6</v>
      </c>
      <c r="C190" s="17">
        <f>Datas!Q5</f>
        <v>161</v>
      </c>
      <c r="D190" s="17">
        <f>_xlfn.RANK.AVG(C190,$C$190:$C$196,1)</f>
        <v>7</v>
      </c>
      <c r="E190" s="17">
        <f>_xlfn.RANK.AVG(B190,$B$190:$B$196,1)</f>
        <v>7</v>
      </c>
    </row>
    <row r="191" spans="1:5">
      <c r="A191" s="8" t="str">
        <f>Datas!A6</f>
        <v>K-9 Mail (Thunderbird Android)</v>
      </c>
      <c r="B191" s="8">
        <f>Datas!FD6</f>
        <v>884.4</v>
      </c>
      <c r="C191" s="8">
        <f>Datas!Q6</f>
        <v>18</v>
      </c>
      <c r="D191" s="8">
        <f t="shared" ref="D191:D196" si="18">_xlfn.RANK.AVG(C191,$C$190:$C$196,1)</f>
        <v>3</v>
      </c>
      <c r="E191" s="8">
        <f t="shared" ref="E191:E196" si="19">_xlfn.RANK.AVG(B191,$B$190:$B$196,1)</f>
        <v>6</v>
      </c>
    </row>
    <row r="192" spans="1:5">
      <c r="A192" s="17" t="str">
        <f>Datas!A7</f>
        <v>AntennaPod</v>
      </c>
      <c r="B192" s="17">
        <f>Datas!FD7</f>
        <v>575.6</v>
      </c>
      <c r="C192" s="17">
        <f>Datas!Q7</f>
        <v>46</v>
      </c>
      <c r="D192" s="17">
        <f t="shared" si="18"/>
        <v>5</v>
      </c>
      <c r="E192" s="17">
        <f t="shared" si="19"/>
        <v>5</v>
      </c>
    </row>
    <row r="193" spans="1:5">
      <c r="A193" s="8" t="str">
        <f>Datas!A8</f>
        <v>Markor</v>
      </c>
      <c r="B193" s="8">
        <f>Datas!FD8</f>
        <v>437.2</v>
      </c>
      <c r="C193" s="8">
        <f>Datas!Q8</f>
        <v>17</v>
      </c>
      <c r="D193" s="8">
        <f t="shared" si="18"/>
        <v>1</v>
      </c>
      <c r="E193" s="8">
        <f t="shared" si="19"/>
        <v>3</v>
      </c>
    </row>
    <row r="194" spans="1:5">
      <c r="A194" s="17" t="str">
        <f>Datas!A9</f>
        <v>Fdroidclient</v>
      </c>
      <c r="B194" s="17">
        <f>Datas!FD9</f>
        <v>540.9</v>
      </c>
      <c r="C194" s="17">
        <f>Datas!Q9</f>
        <v>18</v>
      </c>
      <c r="D194" s="17">
        <f t="shared" si="18"/>
        <v>3</v>
      </c>
      <c r="E194" s="17">
        <f t="shared" si="19"/>
        <v>4</v>
      </c>
    </row>
    <row r="195" spans="1:5">
      <c r="A195" s="8" t="str">
        <f>Datas!A10</f>
        <v>Damn-Vulnerable-Android-Components</v>
      </c>
      <c r="B195" s="8">
        <f>Datas!FD10</f>
        <v>406.9</v>
      </c>
      <c r="C195" s="8">
        <f>Datas!Q10</f>
        <v>18</v>
      </c>
      <c r="D195" s="8">
        <f t="shared" si="18"/>
        <v>3</v>
      </c>
      <c r="E195" s="8">
        <f t="shared" si="19"/>
        <v>1</v>
      </c>
    </row>
    <row r="196" spans="1:5">
      <c r="A196" s="17" t="str">
        <f>Datas!A11</f>
        <v>OpenMRS</v>
      </c>
      <c r="B196" s="17">
        <f>Datas!FD11</f>
        <v>419.8</v>
      </c>
      <c r="C196" s="17">
        <f>Datas!Q11</f>
        <v>49</v>
      </c>
      <c r="D196" s="17">
        <f t="shared" si="18"/>
        <v>6</v>
      </c>
      <c r="E196" s="17">
        <f t="shared" si="19"/>
        <v>2</v>
      </c>
    </row>
    <row r="197" spans="1:5">
      <c r="A197" s="17"/>
      <c r="B197" s="17"/>
      <c r="C197" s="17"/>
      <c r="D197" s="17"/>
      <c r="E197" s="17"/>
    </row>
    <row r="198" spans="1:5">
      <c r="A198" s="17" t="s">
        <v>103</v>
      </c>
      <c r="B198" s="17">
        <f>IF(ABS(B199)=1,"&lt;0.001",_xlfn.T.DIST.2T(ABS(B199*SQRT((7-2)/(1-B199^2))),7-2))</f>
        <v>0.41311620025516593</v>
      </c>
      <c r="C198" s="17"/>
      <c r="D198" s="17"/>
      <c r="E198" s="17"/>
    </row>
    <row r="199" spans="1:5">
      <c r="A199" s="17" t="s">
        <v>104</v>
      </c>
      <c r="B199" s="17">
        <f>CORREL(D190:D196,E190:E196)</f>
        <v>0.37062465833055058</v>
      </c>
      <c r="C199" s="17"/>
      <c r="D199" s="17"/>
      <c r="E199" s="17"/>
    </row>
    <row r="200" spans="1:5">
      <c r="A200" s="17"/>
      <c r="B200" s="17"/>
      <c r="C200" s="17"/>
      <c r="D200" s="17"/>
      <c r="E200" s="17"/>
    </row>
    <row r="201" spans="1:5">
      <c r="A201" s="17"/>
      <c r="B201" s="17"/>
      <c r="C201" s="17"/>
      <c r="D201" s="17"/>
      <c r="E201" s="17"/>
    </row>
    <row r="202" spans="1:5">
      <c r="A202" s="17"/>
      <c r="B202" s="17"/>
      <c r="C202" s="17"/>
      <c r="D202" s="17"/>
      <c r="E202" s="17"/>
    </row>
  </sheetData>
  <mergeCells count="10">
    <mergeCell ref="A104:E104"/>
    <mergeCell ref="A125:E125"/>
    <mergeCell ref="A146:E146"/>
    <mergeCell ref="A167:E167"/>
    <mergeCell ref="A188:E188"/>
    <mergeCell ref="A1:E1"/>
    <mergeCell ref="A21:E21"/>
    <mergeCell ref="A41:E41"/>
    <mergeCell ref="A62:E62"/>
    <mergeCell ref="A83:E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608C-990B-4493-93E8-88DBB1B15944}">
  <dimension ref="A1:M23"/>
  <sheetViews>
    <sheetView workbookViewId="0">
      <selection activeCell="D14" sqref="D14"/>
    </sheetView>
  </sheetViews>
  <sheetFormatPr baseColWidth="10" defaultRowHeight="15"/>
  <cols>
    <col min="1" max="1" width="37.85546875" customWidth="1"/>
    <col min="2" max="2" width="17.7109375" customWidth="1"/>
    <col min="3" max="3" width="16.28515625" customWidth="1"/>
    <col min="4" max="4" width="20.140625" customWidth="1"/>
    <col min="5" max="5" width="17.42578125" customWidth="1"/>
    <col min="7" max="7" width="24.5703125" customWidth="1"/>
    <col min="8" max="8" width="25.85546875" customWidth="1"/>
    <col min="9" max="9" width="19.5703125" customWidth="1"/>
    <col min="10" max="10" width="16.28515625" customWidth="1"/>
  </cols>
  <sheetData>
    <row r="1" spans="1:13">
      <c r="A1" s="16" t="s">
        <v>44</v>
      </c>
      <c r="B1" s="16" t="s">
        <v>99</v>
      </c>
      <c r="C1" s="16" t="s">
        <v>112</v>
      </c>
      <c r="D1" s="16" t="s">
        <v>120</v>
      </c>
      <c r="E1" s="16" t="s">
        <v>121</v>
      </c>
      <c r="F1" s="16" t="s">
        <v>122</v>
      </c>
      <c r="G1" s="16" t="s">
        <v>123</v>
      </c>
      <c r="H1" s="16" t="s">
        <v>126</v>
      </c>
      <c r="I1" s="16" t="s">
        <v>127</v>
      </c>
      <c r="L1">
        <f>AVERAGE(B2:B8)</f>
        <v>12.034285714285714</v>
      </c>
    </row>
    <row r="2" spans="1:13">
      <c r="A2" t="str">
        <f>Datas!A5</f>
        <v>Signal Android</v>
      </c>
      <c r="B2">
        <f>Datas!FD5/60</f>
        <v>29.826666666666664</v>
      </c>
      <c r="C2">
        <f>Datas!G5</f>
        <v>2360</v>
      </c>
      <c r="D2">
        <f>2.477*(C2^0.307)</f>
        <v>26.878807160458784</v>
      </c>
      <c r="E2">
        <f>B2-D2</f>
        <v>2.9478595062078803</v>
      </c>
      <c r="F2">
        <f>E2^2</f>
        <v>8.6898756683401679</v>
      </c>
      <c r="G2">
        <f t="shared" ref="G2:G8" si="0">(B2-$L$1)^2</f>
        <v>316.56881995464852</v>
      </c>
      <c r="H2" cm="1">
        <f t="array" ref="H2">_xlfn.LET(_xlpm.y,_xlfn._xlws.FILTER(LN($B$2:$B$8),$A$2:$A$8&lt;&gt;A2),_xlpm.x,_xlfn._xlws.FILTER(LN($C$2:$C$8),$A$2:$A$8&lt;&gt;A2),_xlpm.a,INTERCEPT(_xlpm.y,_xlpm.x),_xlpm.b,SLOPE(_xlpm.y,_xlpm.x),EXP(_xlpm.a+_xlpm.b*LN(C2)))</f>
        <v>20.556054718348033</v>
      </c>
      <c r="I2" s="26">
        <f>ABS(B2-H2)</f>
        <v>9.2706119483186313</v>
      </c>
    </row>
    <row r="3" spans="1:13">
      <c r="A3" t="str">
        <f>Datas!A6</f>
        <v>K-9 Mail (Thunderbird Android)</v>
      </c>
      <c r="B3">
        <f>Datas!FD6/60</f>
        <v>14.74</v>
      </c>
      <c r="C3">
        <f>Datas!G6</f>
        <v>248</v>
      </c>
      <c r="D3">
        <f t="shared" ref="D3:D8" si="1">2.477*(C3^0.307)</f>
        <v>13.459306173232953</v>
      </c>
      <c r="E3">
        <f t="shared" ref="E3:E8" si="2">B3-D3</f>
        <v>1.2806938267670471</v>
      </c>
      <c r="F3">
        <f t="shared" ref="F3:F8" si="3">E3^2</f>
        <v>1.6401766779192233</v>
      </c>
      <c r="G3">
        <f t="shared" si="0"/>
        <v>7.3208897959183714</v>
      </c>
      <c r="H3" cm="1">
        <f t="array" ref="H3">_xlfn.LET(_xlpm.y,_xlfn._xlws.FILTER(LN($B$2:$B$8),$A$2:$A$8&lt;&gt;A3),_xlpm.x,_xlfn._xlws.FILTER(LN($C$2:$C$8),$A$2:$A$8&lt;&gt;A3),_xlpm.a,INTERCEPT(_xlpm.y,_xlpm.x),_xlpm.b,SLOPE(_xlpm.y,_xlpm.x),EXP(_xlpm.a+_xlpm.b*LN(C3)))</f>
        <v>13.167356663751612</v>
      </c>
      <c r="I3" s="26">
        <f t="shared" ref="I3:I8" si="4">ABS(B3-H3)</f>
        <v>1.5726433362483885</v>
      </c>
      <c r="L3" s="16" t="s">
        <v>124</v>
      </c>
      <c r="M3">
        <f>1-SUM(F2:F8)/SUM(G2:G8)</f>
        <v>0.95633765521738301</v>
      </c>
    </row>
    <row r="4" spans="1:13">
      <c r="A4" t="str">
        <f>Datas!A7</f>
        <v>AntennaPod</v>
      </c>
      <c r="B4">
        <f>Datas!FD7/60</f>
        <v>9.5933333333333337</v>
      </c>
      <c r="C4">
        <f>Datas!G7</f>
        <v>134</v>
      </c>
      <c r="D4">
        <f t="shared" si="1"/>
        <v>11.1415901768501</v>
      </c>
      <c r="E4">
        <f t="shared" si="2"/>
        <v>-1.5482568435167661</v>
      </c>
      <c r="F4">
        <f t="shared" si="3"/>
        <v>2.3970992534964997</v>
      </c>
      <c r="G4">
        <f t="shared" si="0"/>
        <v>5.9582485260770932</v>
      </c>
      <c r="H4" cm="1">
        <f t="array" ref="H4">_xlfn.LET(_xlpm.y,_xlfn._xlws.FILTER(LN($B$2:$B$8),$A$2:$A$8&lt;&gt;A4),_xlpm.x,_xlfn._xlws.FILTER(LN($C$2:$C$8),$A$2:$A$8&lt;&gt;A4),_xlpm.a,INTERCEPT(_xlpm.y,_xlpm.x),_xlpm.b,SLOPE(_xlpm.y,_xlpm.x),EXP(_xlpm.a+_xlpm.b*LN(C4)))</f>
        <v>11.41701100841563</v>
      </c>
      <c r="I4" s="26">
        <f t="shared" si="4"/>
        <v>1.8236776750822958</v>
      </c>
      <c r="L4" s="16" t="s">
        <v>128</v>
      </c>
      <c r="M4">
        <f>AVERAGE(I2:I8)</f>
        <v>2.6370350879148652</v>
      </c>
    </row>
    <row r="5" spans="1:13">
      <c r="A5" t="str">
        <f>Datas!A8</f>
        <v>Markor</v>
      </c>
      <c r="B5">
        <f>Datas!FD8/60</f>
        <v>7.2866666666666662</v>
      </c>
      <c r="C5">
        <f>Datas!G8</f>
        <v>58.2</v>
      </c>
      <c r="D5">
        <f t="shared" si="1"/>
        <v>8.6249654267065825</v>
      </c>
      <c r="E5">
        <f t="shared" si="2"/>
        <v>-1.3382987600399163</v>
      </c>
      <c r="F5">
        <f t="shared" si="3"/>
        <v>1.7910435711243775</v>
      </c>
      <c r="G5">
        <f t="shared" si="0"/>
        <v>22.539886621315194</v>
      </c>
      <c r="H5" cm="1">
        <f t="array" ref="H5">_xlfn.LET(_xlpm.y,_xlfn._xlws.FILTER(LN($B$2:$B$8),$A$2:$A$8&lt;&gt;A5),_xlpm.x,_xlfn._xlws.FILTER(LN($C$2:$C$8),$A$2:$A$8&lt;&gt;A5),_xlpm.a,INTERCEPT(_xlpm.y,_xlpm.x),_xlpm.b,SLOPE(_xlpm.y,_xlpm.x),EXP(_xlpm.a+_xlpm.b*LN(C5)))</f>
        <v>8.9092227968025917</v>
      </c>
      <c r="I5" s="26">
        <f t="shared" si="4"/>
        <v>1.6225561301359255</v>
      </c>
    </row>
    <row r="6" spans="1:13">
      <c r="A6" t="str">
        <f>Datas!A9</f>
        <v>Fdroidclient</v>
      </c>
      <c r="B6">
        <f>Datas!FD9/60</f>
        <v>9.0149999999999988</v>
      </c>
      <c r="C6">
        <f>Datas!G9</f>
        <v>79.7</v>
      </c>
      <c r="D6">
        <f t="shared" si="1"/>
        <v>9.4989086527224966</v>
      </c>
      <c r="E6">
        <f t="shared" si="2"/>
        <v>-0.48390865272249783</v>
      </c>
      <c r="F6">
        <f t="shared" si="3"/>
        <v>0.23416758417970301</v>
      </c>
      <c r="G6">
        <f t="shared" si="0"/>
        <v>9.1160862244898002</v>
      </c>
      <c r="H6" cm="1">
        <f t="array" ref="H6">_xlfn.LET(_xlpm.y,_xlfn._xlws.FILTER(LN($B$2:$B$8),$A$2:$A$8&lt;&gt;A6),_xlpm.x,_xlfn._xlws.FILTER(LN($C$2:$C$8),$A$2:$A$8&lt;&gt;A6),_xlpm.a,INTERCEPT(_xlpm.y,_xlpm.x),_xlpm.b,SLOPE(_xlpm.y,_xlpm.x),EXP(_xlpm.a+_xlpm.b*LN(C6)))</f>
        <v>9.5759036285326662</v>
      </c>
      <c r="I6" s="26">
        <f t="shared" si="4"/>
        <v>0.5609036285326674</v>
      </c>
    </row>
    <row r="7" spans="1:13">
      <c r="A7" t="str">
        <f>Datas!A10</f>
        <v>Damn-Vulnerable-Android-Components</v>
      </c>
      <c r="B7">
        <f>Datas!FD10/60</f>
        <v>6.7816666666666663</v>
      </c>
      <c r="C7">
        <f>Datas!G10</f>
        <v>37.299999999999997</v>
      </c>
      <c r="D7">
        <f t="shared" si="1"/>
        <v>7.5238584775237802</v>
      </c>
      <c r="E7">
        <f t="shared" si="2"/>
        <v>-0.74219181085711394</v>
      </c>
      <c r="F7">
        <f t="shared" si="3"/>
        <v>0.55084868410336196</v>
      </c>
      <c r="G7">
        <f t="shared" si="0"/>
        <v>27.59000685941043</v>
      </c>
      <c r="H7" cm="1">
        <f t="array" ref="H7">_xlfn.LET(_xlpm.y,_xlfn._xlws.FILTER(LN($B$2:$B$8),$A$2:$A$8&lt;&gt;A7),_xlpm.x,_xlfn._xlws.FILTER(LN($C$2:$C$8),$A$2:$A$8&lt;&gt;A7),_xlpm.a,INTERCEPT(_xlpm.y,_xlpm.x),_xlpm.b,SLOPE(_xlpm.y,_xlpm.x),EXP(_xlpm.a+_xlpm.b*LN(C7)))</f>
        <v>7.7271380648646435</v>
      </c>
      <c r="I7" s="26">
        <f t="shared" si="4"/>
        <v>0.94547139819797721</v>
      </c>
    </row>
    <row r="8" spans="1:13">
      <c r="A8" t="str">
        <f>Datas!A11</f>
        <v>OpenMRS</v>
      </c>
      <c r="B8">
        <f>Datas!FD11/60</f>
        <v>6.996666666666667</v>
      </c>
      <c r="C8">
        <f>Datas!G11</f>
        <v>12.1</v>
      </c>
      <c r="D8">
        <f t="shared" si="1"/>
        <v>5.3252636625108414</v>
      </c>
      <c r="E8">
        <f t="shared" si="2"/>
        <v>1.6714030041558257</v>
      </c>
      <c r="F8">
        <f t="shared" si="3"/>
        <v>2.793588002301119</v>
      </c>
      <c r="G8">
        <f t="shared" si="0"/>
        <v>25.377605668934233</v>
      </c>
      <c r="H8" cm="1">
        <f t="array" ref="H8">_xlfn.LET(_xlpm.y,_xlfn._xlws.FILTER(LN($B$2:$B$8),$A$2:$A$8&lt;&gt;A8),_xlpm.x,_xlfn._xlws.FILTER(LN($C$2:$C$8),$A$2:$A$8&lt;&gt;A8),_xlpm.a,INTERCEPT(_xlpm.y,_xlpm.x),_xlpm.b,SLOPE(_xlpm.y,_xlpm.x),EXP(_xlpm.a+_xlpm.b*LN(C8)))</f>
        <v>4.3332851677784978</v>
      </c>
      <c r="I8" s="26">
        <f t="shared" si="4"/>
        <v>2.6633814988881692</v>
      </c>
    </row>
    <row r="16" spans="1:13">
      <c r="A16" s="16" t="s">
        <v>44</v>
      </c>
      <c r="B16" s="16" t="s">
        <v>99</v>
      </c>
      <c r="C16" s="16" t="s">
        <v>3</v>
      </c>
      <c r="D16" s="16" t="s">
        <v>125</v>
      </c>
      <c r="E16" s="16" t="s">
        <v>120</v>
      </c>
      <c r="F16" s="16" t="s">
        <v>121</v>
      </c>
      <c r="G16" s="16" t="s">
        <v>122</v>
      </c>
      <c r="H16" s="16" t="s">
        <v>123</v>
      </c>
      <c r="I16" s="16" t="s">
        <v>126</v>
      </c>
      <c r="J16" s="16" t="s">
        <v>127</v>
      </c>
      <c r="L16">
        <f>AVERAGE(B17:B23)</f>
        <v>12.034285714285714</v>
      </c>
    </row>
    <row r="17" spans="1:13">
      <c r="A17" t="str">
        <f>Datas!A5</f>
        <v>Signal Android</v>
      </c>
      <c r="B17">
        <f>Datas!FD5/60</f>
        <v>29.826666666666664</v>
      </c>
      <c r="C17">
        <f>Datas!L5</f>
        <v>1603006</v>
      </c>
      <c r="D17">
        <f>Datas!K5</f>
        <v>8737</v>
      </c>
      <c r="E17">
        <f>6.505+(0.00000919*C17)+(0.000983*D17)</f>
        <v>29.825096139999999</v>
      </c>
      <c r="F17">
        <f xml:space="preserve"> B17-E17</f>
        <v>1.5705266666650175E-3</v>
      </c>
      <c r="G17">
        <f xml:space="preserve"> F17^2</f>
        <v>2.4665540107059309E-6</v>
      </c>
      <c r="H17">
        <f t="shared" ref="H17:H23" si="5">(B17-$L$16)^2</f>
        <v>316.56881995464852</v>
      </c>
      <c r="I17" s="26" cm="1">
        <f t="array" ref="I17">_xlfn.LET(_xlpm.y,_xlfn._xlws.FILTER($B$17:$B$23,$A$17:$A$23&lt;&gt;A17),_xlpm.x,_xlfn._xlws.FILTER($C$17:$D$23,$A$17:$A$23&lt;&gt;A17),_xlpm.coef,LINEST(_xlpm.y,_xlpm.x,TRUE,FALSE),_xlpm.b_files,INDEX(_xlpm.coef,1,1),_xlpm.b_loc,INDEX(_xlpm.coef,1,2),_xlpm.intercept,INDEX(_xlpm.coef,1,3),_xlpm.intercept+(_xlpm.b_loc*C17)+(_xlpm.b_files*D17))</f>
        <v>28.095213291580709</v>
      </c>
      <c r="J17">
        <f>ABS(B17-I17)</f>
        <v>1.7314533750859553</v>
      </c>
    </row>
    <row r="18" spans="1:13">
      <c r="A18" t="str">
        <f>Datas!A6</f>
        <v>K-9 Mail (Thunderbird Android)</v>
      </c>
      <c r="B18">
        <f>Datas!FD6/60</f>
        <v>14.74</v>
      </c>
      <c r="C18">
        <f>Datas!L6</f>
        <v>129770</v>
      </c>
      <c r="D18">
        <f>Datas!K6</f>
        <v>7139</v>
      </c>
      <c r="E18">
        <f t="shared" ref="E18:E23" si="6">6.505+(0.00000919*C18)+(0.000983*D18)</f>
        <v>14.7152233</v>
      </c>
      <c r="F18">
        <f t="shared" ref="F18:F23" si="7" xml:space="preserve"> B18-E18</f>
        <v>2.4776700000000318E-2</v>
      </c>
      <c r="G18">
        <f t="shared" ref="G18:G23" si="8" xml:space="preserve"> F18^2</f>
        <v>6.1388486289001571E-4</v>
      </c>
      <c r="H18">
        <f t="shared" si="5"/>
        <v>7.3208897959183714</v>
      </c>
      <c r="I18" s="26" cm="1">
        <f t="array" ref="I18">_xlfn.LET(_xlpm.y,_xlfn._xlws.FILTER($B$17:$B$23,$A$17:$A$23&lt;&gt;A18),_xlpm.x,_xlfn._xlws.FILTER($C$17:$D$23,$A$17:$A$23&lt;&gt;A18),_xlpm.coef,LINEST(_xlpm.y,_xlpm.x,TRUE,FALSE),_xlpm.b_files,INDEX(_xlpm.coef,1,1),_xlpm.b_loc,INDEX(_xlpm.coef,1,2),_xlpm.intercept,INDEX(_xlpm.coef,1,3),_xlpm.intercept+(_xlpm.b_loc*C18)+(_xlpm.b_files*D18))</f>
        <v>14.134163803250036</v>
      </c>
      <c r="J18">
        <f t="shared" ref="J18:J23" si="9">ABS(B18-I18)</f>
        <v>0.60583619674996392</v>
      </c>
      <c r="L18" s="16" t="s">
        <v>124</v>
      </c>
      <c r="M18">
        <f>1-SUM(G17:G23)/SUM(H17:H23)</f>
        <v>0.99319691433002699</v>
      </c>
    </row>
    <row r="19" spans="1:13">
      <c r="A19" t="str">
        <f>Datas!A7</f>
        <v>AntennaPod</v>
      </c>
      <c r="B19">
        <f>Datas!FD7/60</f>
        <v>9.5933333333333337</v>
      </c>
      <c r="C19">
        <f>Datas!L7</f>
        <v>62675</v>
      </c>
      <c r="D19">
        <f>Datas!K7</f>
        <v>1165</v>
      </c>
      <c r="E19">
        <f t="shared" si="6"/>
        <v>8.2261782500000002</v>
      </c>
      <c r="F19">
        <f t="shared" si="7"/>
        <v>1.3671550833333335</v>
      </c>
      <c r="G19">
        <f t="shared" si="8"/>
        <v>1.8691130218841741</v>
      </c>
      <c r="H19">
        <f t="shared" si="5"/>
        <v>5.9582485260770932</v>
      </c>
      <c r="I19" s="26" cm="1">
        <f t="array" ref="I19">_xlfn.LET(_xlpm.y,_xlfn._xlws.FILTER($B$17:$B$23,$A$17:$A$23&lt;&gt;A19),_xlpm.x,_xlfn._xlws.FILTER($C$17:$D$23,$A$17:$A$23&lt;&gt;A19),_xlpm.coef,LINEST(_xlpm.y,_xlpm.x,TRUE,FALSE),_xlpm.b_files,INDEX(_xlpm.coef,1,1),_xlpm.b_loc,INDEX(_xlpm.coef,1,2),_xlpm.intercept,INDEX(_xlpm.coef,1,3),_xlpm.intercept+(_xlpm.b_loc*C19)+(_xlpm.b_files*D19))</f>
        <v>7.9082330510398862</v>
      </c>
      <c r="J19">
        <f t="shared" si="9"/>
        <v>1.6851002822934475</v>
      </c>
      <c r="L19" s="16" t="s">
        <v>128</v>
      </c>
      <c r="M19" s="26">
        <f>AVERAGE(J17:J23)</f>
        <v>0.87117811735317241</v>
      </c>
    </row>
    <row r="20" spans="1:13">
      <c r="A20" t="str">
        <f>Datas!A8</f>
        <v>Markor</v>
      </c>
      <c r="B20">
        <f>Datas!FD8/60</f>
        <v>7.2866666666666662</v>
      </c>
      <c r="C20">
        <f>Datas!L8</f>
        <v>30512</v>
      </c>
      <c r="D20">
        <f>Datas!K8</f>
        <v>797</v>
      </c>
      <c r="E20">
        <f t="shared" si="6"/>
        <v>7.5688562800000003</v>
      </c>
      <c r="F20">
        <f t="shared" si="7"/>
        <v>-0.28218961333333414</v>
      </c>
      <c r="G20">
        <f t="shared" si="8"/>
        <v>7.963097787321663E-2</v>
      </c>
      <c r="H20">
        <f t="shared" si="5"/>
        <v>22.539886621315194</v>
      </c>
      <c r="I20" s="26" cm="1">
        <f t="array" ref="I20">_xlfn.LET(_xlpm.y,_xlfn._xlws.FILTER($B$17:$B$23,$A$17:$A$23&lt;&gt;A20),_xlpm.x,_xlfn._xlws.FILTER($C$17:$D$23,$A$17:$A$23&lt;&gt;A20),_xlpm.coef,LINEST(_xlpm.y,_xlpm.x,TRUE,FALSE),_xlpm.b_files,INDEX(_xlpm.coef,1,1),_xlpm.b_loc,INDEX(_xlpm.coef,1,2),_xlpm.intercept,INDEX(_xlpm.coef,1,3),_xlpm.intercept+(_xlpm.b_loc*C20)+(_xlpm.b_files*D20))</f>
        <v>7.6448179642206675</v>
      </c>
      <c r="J20">
        <f t="shared" si="9"/>
        <v>0.35815129755400132</v>
      </c>
    </row>
    <row r="21" spans="1:13">
      <c r="A21" t="str">
        <f>Datas!A9</f>
        <v>Fdroidclient</v>
      </c>
      <c r="B21">
        <f>Datas!FD9/60</f>
        <v>9.0149999999999988</v>
      </c>
      <c r="C21">
        <f>Datas!L9</f>
        <v>94671</v>
      </c>
      <c r="D21">
        <f>Datas!K9</f>
        <v>2086</v>
      </c>
      <c r="E21">
        <f t="shared" si="6"/>
        <v>9.4255644899999993</v>
      </c>
      <c r="F21">
        <f t="shared" si="7"/>
        <v>-0.4105644900000005</v>
      </c>
      <c r="G21">
        <f t="shared" si="8"/>
        <v>0.1685632004489605</v>
      </c>
      <c r="H21">
        <f t="shared" si="5"/>
        <v>9.1160862244898002</v>
      </c>
      <c r="I21" s="26" cm="1">
        <f t="array" ref="I21">_xlfn.LET(_xlpm.y,_xlfn._xlws.FILTER($B$17:$B$23,$A$17:$A$23&lt;&gt;A21),_xlpm.x,_xlfn._xlws.FILTER($C$17:$D$23,$A$17:$A$23&lt;&gt;A21),_xlpm.coef,LINEST(_xlpm.y,_xlpm.x,TRUE,FALSE),_xlpm.b_files,INDEX(_xlpm.coef,1,1),_xlpm.b_loc,INDEX(_xlpm.coef,1,2),_xlpm.intercept,INDEX(_xlpm.coef,1,3),_xlpm.intercept+(_xlpm.b_loc*C21)+(_xlpm.b_files*D21))</f>
        <v>9.5050674717771404</v>
      </c>
      <c r="J21">
        <f t="shared" si="9"/>
        <v>0.49006747177714161</v>
      </c>
    </row>
    <row r="22" spans="1:13">
      <c r="A22" t="str">
        <f>Datas!A10</f>
        <v>Damn-Vulnerable-Android-Components</v>
      </c>
      <c r="B22">
        <f>Datas!FD10/60</f>
        <v>6.7816666666666663</v>
      </c>
      <c r="C22">
        <f>Datas!L10</f>
        <v>2854</v>
      </c>
      <c r="D22">
        <f>Datas!K10</f>
        <v>120</v>
      </c>
      <c r="E22">
        <f t="shared" si="6"/>
        <v>6.6491882599999999</v>
      </c>
      <c r="F22">
        <f t="shared" si="7"/>
        <v>0.13247840666666644</v>
      </c>
      <c r="G22">
        <f t="shared" si="8"/>
        <v>1.755052823293865E-2</v>
      </c>
      <c r="H22">
        <f t="shared" si="5"/>
        <v>27.59000685941043</v>
      </c>
      <c r="I22" s="26" cm="1">
        <f t="array" ref="I22">_xlfn.LET(_xlpm.y,_xlfn._xlws.FILTER($B$17:$B$23,$A$17:$A$23&lt;&gt;A22),_xlpm.x,_xlfn._xlws.FILTER($C$17:$D$23,$A$17:$A$23&lt;&gt;A22),_xlpm.coef,LINEST(_xlpm.y,_xlpm.x,TRUE,FALSE),_xlpm.b_files,INDEX(_xlpm.coef,1,1),_xlpm.b_loc,INDEX(_xlpm.coef,1,2),_xlpm.intercept,INDEX(_xlpm.coef,1,3),_xlpm.intercept+(_xlpm.b_loc*C22)+(_xlpm.b_files*D22))</f>
        <v>6.6013782244671528</v>
      </c>
      <c r="J22">
        <f t="shared" si="9"/>
        <v>0.18028844219951345</v>
      </c>
    </row>
    <row r="23" spans="1:13">
      <c r="A23" t="str">
        <f>Datas!A11</f>
        <v>OpenMRS</v>
      </c>
      <c r="B23">
        <f>Datas!FD11/60</f>
        <v>6.996666666666667</v>
      </c>
      <c r="C23">
        <f>Datas!L11</f>
        <v>53765</v>
      </c>
      <c r="D23">
        <f>Datas!K11</f>
        <v>839</v>
      </c>
      <c r="E23">
        <f t="shared" si="6"/>
        <v>7.8238373499999998</v>
      </c>
      <c r="F23">
        <f t="shared" si="7"/>
        <v>-0.82717068333333277</v>
      </c>
      <c r="G23">
        <f t="shared" si="8"/>
        <v>0.68421133936613265</v>
      </c>
      <c r="H23">
        <f t="shared" si="5"/>
        <v>25.377605668934233</v>
      </c>
      <c r="I23" s="26" cm="1">
        <f t="array" ref="I23">_xlfn.LET(_xlpm.y,_xlfn._xlws.FILTER($B$17:$B$23,$A$17:$A$23&lt;&gt;A23),_xlpm.x,_xlfn._xlws.FILTER($C$17:$D$23,$A$17:$A$23&lt;&gt;A23),_xlpm.coef,LINEST(_xlpm.y,_xlpm.x,TRUE,FALSE),_xlpm.b_files,INDEX(_xlpm.coef,1,1),_xlpm.b_loc,INDEX(_xlpm.coef,1,2),_xlpm.intercept,INDEX(_xlpm.coef,1,3),_xlpm.intercept+(_xlpm.b_loc*C23)+(_xlpm.b_files*D23))</f>
        <v>8.0440164224788511</v>
      </c>
      <c r="J23">
        <f t="shared" si="9"/>
        <v>1.047349755812184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</vt:lpstr>
      <vt:lpstr>Execution-time results</vt:lpstr>
      <vt:lpstr>Runtime by pipeline operation</vt:lpstr>
      <vt:lpstr>Scalability indicators</vt:lpstr>
      <vt:lpstr>Runtime distribution</vt:lpstr>
      <vt:lpstr>Strongest associations wth time</vt:lpstr>
      <vt:lpstr>Exploratory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LOPEZ JIMENEZ</dc:creator>
  <cp:lastModifiedBy>JUAN JOSE LOPEZ JIMENEZ</cp:lastModifiedBy>
  <dcterms:created xsi:type="dcterms:W3CDTF">2026-06-11T07:36:57Z</dcterms:created>
  <dcterms:modified xsi:type="dcterms:W3CDTF">2026-07-10T10:33:44Z</dcterms:modified>
</cp:coreProperties>
</file>